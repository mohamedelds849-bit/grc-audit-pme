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rt_AnnexeA" sheetId="1" state="visible" r:id="rId1"/>
    <sheet xmlns:r="http://schemas.openxmlformats.org/officeDocument/2006/relationships" name="DdA_SoA" sheetId="2" state="visible" r:id="rId2"/>
    <sheet xmlns:r="http://schemas.openxmlformats.org/officeDocument/2006/relationships" name="Synthese_themes" sheetId="3" state="visible" r:id="rId3"/>
    <sheet xmlns:r="http://schemas.openxmlformats.org/officeDocument/2006/relationships" name="Risques" sheetId="4" state="visible" r:id="rId4"/>
    <sheet xmlns:r="http://schemas.openxmlformats.org/officeDocument/2006/relationships" name="Plan_action" sheetId="5" state="visible" r:id="rId5"/>
  </sheets>
  <definedNames>
    <definedName name="_xlnm._FilterDatabase" localSheetId="0" hidden="1">'Ecart_AnnexeA'!$A$1:$M$94</definedName>
    <definedName name="_xlnm._FilterDatabase" localSheetId="1" hidden="1">'DdA_SoA'!$A$1:$F$94</definedName>
    <definedName name="_xlnm._FilterDatabase" localSheetId="2" hidden="1">'Synthese_themes'!$A$1:$E$5</definedName>
    <definedName name="_xlnm._FilterDatabase" localSheetId="3" hidden="1">'Risques'!$A$1:$N$13</definedName>
    <definedName name="_xlnm._FilterDatabase" localSheetId="4" hidden="1">'Plan_action'!$A$1:$H$24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B6B6"/>
        </patternFill>
      </fill>
    </dxf>
    <dxf>
      <fill>
        <patternFill patternType="solid">
          <fgColor rgb="00F9D3A8"/>
        </patternFill>
      </fill>
    </dxf>
    <dxf>
      <fill>
        <patternFill patternType="solid">
          <fgColor rgb="00FCE9A6"/>
        </patternFill>
      </fill>
    </dxf>
    <dxf>
      <fill>
        <patternFill patternType="solid">
          <fgColor rgb="00BFE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32" customWidth="1" min="4" max="4"/>
    <col width="9" customWidth="1" min="5" max="5"/>
    <col width="10" customWidth="1" min="6" max="6"/>
    <col width="45" customWidth="1" min="7" max="7"/>
    <col width="10" customWidth="1" min="8" max="8"/>
    <col width="7" customWidth="1" min="9" max="9"/>
    <col width="9" customWidth="1" min="10" max="10"/>
    <col width="45" customWidth="1" min="11" max="11"/>
    <col width="8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Thème</t>
        </is>
      </c>
      <c r="C1" s="1" t="inlineStr">
        <is>
          <t>Mesure (EN, ISO/IEC 27001:2022)</t>
        </is>
      </c>
      <c r="D1" s="1" t="inlineStr">
        <is>
          <t>Libellé FR (traduction de travail)</t>
        </is>
      </c>
      <c r="E1" s="1" t="inlineStr">
        <is>
          <t>Nouveau 2022</t>
        </is>
      </c>
      <c r="F1" s="1" t="inlineStr">
        <is>
          <t>Applicable</t>
        </is>
      </c>
      <c r="G1" s="1" t="inlineStr">
        <is>
          <t>État actuel</t>
        </is>
      </c>
      <c r="H1" s="1" t="inlineStr">
        <is>
          <t>Maturité (0-5)</t>
        </is>
      </c>
      <c r="I1" s="1" t="inlineStr">
        <is>
          <t>Cible</t>
        </is>
      </c>
      <c r="J1" s="1" t="inlineStr">
        <is>
          <t>Écart (points)</t>
        </is>
      </c>
      <c r="K1" s="1" t="inlineStr">
        <is>
          <t>Écart / recommandation</t>
        </is>
      </c>
      <c r="L1" s="1" t="inlineStr">
        <is>
          <t>Priorité</t>
        </is>
      </c>
      <c r="M1" s="1" t="inlineStr">
        <is>
          <t>Risques liés</t>
        </is>
      </c>
    </row>
    <row r="2">
      <c r="A2" s="2" t="inlineStr">
        <is>
          <t>5.1</t>
        </is>
      </c>
      <c r="B2" s="2" t="inlineStr">
        <is>
          <t>Organisationnel</t>
        </is>
      </c>
      <c r="C2" s="2" t="inlineStr">
        <is>
          <t>Policies for information security</t>
        </is>
      </c>
      <c r="D2" s="2" t="inlineStr">
        <is>
          <t>Politiques de sécurité de l'information</t>
        </is>
      </c>
      <c r="E2" s="2" t="inlineStr">
        <is>
          <t>Non</t>
        </is>
      </c>
      <c r="F2" s="2" t="inlineStr">
        <is>
          <t>Oui</t>
        </is>
      </c>
      <c r="G2" s="2" t="inlineStr">
        <is>
          <t>Aucune politique écrite ; règles transmises oralement par le gérant.</t>
        </is>
      </c>
      <c r="H2" s="2" t="n">
        <v>0</v>
      </c>
      <c r="I2" s="2" t="n">
        <v>3</v>
      </c>
      <c r="J2" s="2" t="n">
        <v>3</v>
      </c>
      <c r="K2" s="2" t="inlineStr">
        <is>
          <t>Rédiger une PSSI courte (5-8 pages) validée par la gérance, + charte utilisateur.</t>
        </is>
      </c>
      <c r="L2" s="2" t="inlineStr">
        <is>
          <t>P1</t>
        </is>
      </c>
      <c r="M2" s="2" t="inlineStr">
        <is>
          <t>Tous</t>
        </is>
      </c>
    </row>
    <row r="3">
      <c r="A3" s="2" t="inlineStr">
        <is>
          <t>5.2</t>
        </is>
      </c>
      <c r="B3" s="2" t="inlineStr">
        <is>
          <t>Organisationnel</t>
        </is>
      </c>
      <c r="C3" s="2" t="inlineStr">
        <is>
          <t>Information security roles and responsibilities</t>
        </is>
      </c>
      <c r="D3" s="2" t="inlineStr">
        <is>
          <t>Rôles et responsabilités</t>
        </is>
      </c>
      <c r="E3" s="2" t="inlineStr">
        <is>
          <t>Non</t>
        </is>
      </c>
      <c r="F3" s="2" t="inlineStr">
        <is>
          <t>Oui</t>
        </is>
      </c>
      <c r="G3" s="2" t="inlineStr">
        <is>
          <t>Le gérant et le prestataire web gèrent 'l'informatique' sans rôles définis.</t>
        </is>
      </c>
      <c r="H3" s="2" t="n">
        <v>1</v>
      </c>
      <c r="I3" s="2" t="n">
        <v>3</v>
      </c>
      <c r="J3" s="2" t="n">
        <v>2</v>
      </c>
      <c r="K3" s="2" t="inlineStr">
        <is>
          <t>Nommer un référent sécurité interne (temps partiel) et formaliser une matrice RACI.</t>
        </is>
      </c>
      <c r="L3" s="2" t="inlineStr">
        <is>
          <t>P1</t>
        </is>
      </c>
      <c r="M3" s="2" t="inlineStr">
        <is>
          <t>Tous</t>
        </is>
      </c>
    </row>
    <row r="4">
      <c r="A4" s="2" t="inlineStr">
        <is>
          <t>5.3</t>
        </is>
      </c>
      <c r="B4" s="2" t="inlineStr">
        <is>
          <t>Organisationnel</t>
        </is>
      </c>
      <c r="C4" s="2" t="inlineStr">
        <is>
          <t>Segregation of duties</t>
        </is>
      </c>
      <c r="D4" s="2" t="inlineStr">
        <is>
          <t>Séparation des tâches</t>
        </is>
      </c>
      <c r="E4" s="2" t="inlineStr">
        <is>
          <t>Non</t>
        </is>
      </c>
      <c r="F4" s="2" t="inlineStr">
        <is>
          <t>Oui</t>
        </is>
      </c>
      <c r="G4" s="2" t="inlineStr">
        <is>
          <t>La même personne saisit et valide les virements fournisseurs.</t>
        </is>
      </c>
      <c r="H4" s="2" t="n">
        <v>1</v>
      </c>
      <c r="I4" s="2" t="n">
        <v>3</v>
      </c>
      <c r="J4" s="2" t="n">
        <v>2</v>
      </c>
      <c r="K4" s="2" t="inlineStr">
        <is>
          <t>Double validation des virements et des changements de RIB fournisseur.</t>
        </is>
      </c>
      <c r="L4" s="2" t="inlineStr">
        <is>
          <t>P1</t>
        </is>
      </c>
      <c r="M4" s="2" t="inlineStr">
        <is>
          <t>R07</t>
        </is>
      </c>
    </row>
    <row r="5">
      <c r="A5" s="2" t="inlineStr">
        <is>
          <t>5.4</t>
        </is>
      </c>
      <c r="B5" s="2" t="inlineStr">
        <is>
          <t>Organisationnel</t>
        </is>
      </c>
      <c r="C5" s="2" t="inlineStr">
        <is>
          <t>Management responsibilities</t>
        </is>
      </c>
      <c r="D5" s="2" t="inlineStr">
        <is>
          <t>Responsabilités de la direction</t>
        </is>
      </c>
      <c r="E5" s="2" t="inlineStr">
        <is>
          <t>Non</t>
        </is>
      </c>
      <c r="F5" s="2" t="inlineStr">
        <is>
          <t>Oui</t>
        </is>
      </c>
      <c r="G5" s="2" t="inlineStr">
        <is>
          <t>Direction favorable mais aucune exigence sécurité communiquée au personnel.</t>
        </is>
      </c>
      <c r="H5" s="2" t="n">
        <v>1</v>
      </c>
      <c r="I5" s="2" t="n">
        <v>3</v>
      </c>
      <c r="J5" s="2" t="n">
        <v>2</v>
      </c>
      <c r="K5" s="2" t="inlineStr">
        <is>
          <t>Engagement écrit de la gérance ; rappel des règles en réunion trimestrielle.</t>
        </is>
      </c>
      <c r="L5" s="2" t="inlineStr">
        <is>
          <t>P2</t>
        </is>
      </c>
      <c r="M5" s="2" t="inlineStr">
        <is>
          <t>Tous</t>
        </is>
      </c>
    </row>
    <row r="6">
      <c r="A6" s="2" t="inlineStr">
        <is>
          <t>5.5</t>
        </is>
      </c>
      <c r="B6" s="2" t="inlineStr">
        <is>
          <t>Organisationnel</t>
        </is>
      </c>
      <c r="C6" s="2" t="inlineStr">
        <is>
          <t>Contact with authorities</t>
        </is>
      </c>
      <c r="D6" s="2" t="inlineStr">
        <is>
          <t>Relations avec les autorités</t>
        </is>
      </c>
      <c r="E6" s="2" t="inlineStr">
        <is>
          <t>Non</t>
        </is>
      </c>
      <c r="F6" s="2" t="inlineStr">
        <is>
          <t>Oui</t>
        </is>
      </c>
      <c r="G6" s="2" t="inlineStr">
        <is>
          <t>Aucun contact identifié (CNDP, maCERT/DGSSI, police judiciaire).</t>
        </is>
      </c>
      <c r="H6" s="2" t="n">
        <v>0</v>
      </c>
      <c r="I6" s="2" t="n">
        <v>2</v>
      </c>
      <c r="J6" s="2" t="n">
        <v>2</v>
      </c>
      <c r="K6" s="2" t="inlineStr">
        <is>
          <t>Lister les contacts autorités dans la fiche réflexe incident.</t>
        </is>
      </c>
      <c r="L6" s="2" t="inlineStr">
        <is>
          <t>P2</t>
        </is>
      </c>
      <c r="M6" s="2" t="inlineStr">
        <is>
          <t>R03, R09</t>
        </is>
      </c>
    </row>
    <row r="7">
      <c r="A7" s="2" t="inlineStr">
        <is>
          <t>5.6</t>
        </is>
      </c>
      <c r="B7" s="2" t="inlineStr">
        <is>
          <t>Organisationnel</t>
        </is>
      </c>
      <c r="C7" s="2" t="inlineStr">
        <is>
          <t>Contact with special interest groups</t>
        </is>
      </c>
      <c r="D7" s="2" t="inlineStr">
        <is>
          <t>Relations avec des groupes d'intérêt</t>
        </is>
      </c>
      <c r="E7" s="2" t="inlineStr">
        <is>
          <t>Non</t>
        </is>
      </c>
      <c r="F7" s="2" t="inlineStr">
        <is>
          <t>Oui</t>
        </is>
      </c>
      <c r="G7" s="2" t="inlineStr">
        <is>
          <t>Aucune veille ni appartenance à un groupe professionnel sécurité.</t>
        </is>
      </c>
      <c r="H7" s="2" t="n">
        <v>0</v>
      </c>
      <c r="I7" s="2" t="n">
        <v>1</v>
      </c>
      <c r="J7" s="2" t="n">
        <v>1</v>
      </c>
      <c r="K7" s="2" t="inlineStr">
        <is>
          <t>S'abonner aux bulletins d'alerte maCERT et à la fédération professionnelle.</t>
        </is>
      </c>
      <c r="L7" s="2" t="inlineStr">
        <is>
          <t>P3</t>
        </is>
      </c>
      <c r="M7" s="2" t="inlineStr"/>
    </row>
    <row r="8">
      <c r="A8" s="2" t="inlineStr">
        <is>
          <t>5.7</t>
        </is>
      </c>
      <c r="B8" s="2" t="inlineStr">
        <is>
          <t>Organisationnel</t>
        </is>
      </c>
      <c r="C8" s="2" t="inlineStr">
        <is>
          <t>Threat intelligence</t>
        </is>
      </c>
      <c r="D8" s="2" t="inlineStr">
        <is>
          <t>Renseignement sur les menaces</t>
        </is>
      </c>
      <c r="E8" s="2" t="inlineStr">
        <is>
          <t>Oui</t>
        </is>
      </c>
      <c r="F8" s="2" t="inlineStr">
        <is>
          <t>Oui</t>
        </is>
      </c>
      <c r="G8" s="2" t="inlineStr">
        <is>
          <t>Aucune veille menaces.</t>
        </is>
      </c>
      <c r="H8" s="2" t="n">
        <v>0</v>
      </c>
      <c r="I8" s="2" t="n">
        <v>1</v>
      </c>
      <c r="J8" s="2" t="n">
        <v>1</v>
      </c>
      <c r="K8" s="2" t="inlineStr">
        <is>
          <t>Veille légère : bulletins maCERT + alertes du prestataire web (pas de CTI payante).</t>
        </is>
      </c>
      <c r="L8" s="2" t="inlineStr">
        <is>
          <t>P3</t>
        </is>
      </c>
      <c r="M8" s="2" t="inlineStr">
        <is>
          <t>R01, R02</t>
        </is>
      </c>
    </row>
    <row r="9">
      <c r="A9" s="2" t="inlineStr">
        <is>
          <t>5.8</t>
        </is>
      </c>
      <c r="B9" s="2" t="inlineStr">
        <is>
          <t>Organisationnel</t>
        </is>
      </c>
      <c r="C9" s="2" t="inlineStr">
        <is>
          <t>Information security in project management</t>
        </is>
      </c>
      <c r="D9" s="2" t="inlineStr">
        <is>
          <t>Sécurité dans la gestion de projet</t>
        </is>
      </c>
      <c r="E9" s="2" t="inlineStr">
        <is>
          <t>Non</t>
        </is>
      </c>
      <c r="F9" s="2" t="inlineStr">
        <is>
          <t>Oui</t>
        </is>
      </c>
      <c r="G9" s="2" t="inlineStr">
        <is>
          <t>Les évolutions du site sont lancées sans exigences de sécurité.</t>
        </is>
      </c>
      <c r="H9" s="2" t="n">
        <v>0</v>
      </c>
      <c r="I9" s="2" t="n">
        <v>2</v>
      </c>
      <c r="J9" s="2" t="n">
        <v>2</v>
      </c>
      <c r="K9" s="2" t="inlineStr">
        <is>
          <t>Ajouter une check-list sécurité à chaque demande d'évolution au prestataire.</t>
        </is>
      </c>
      <c r="L9" s="2" t="inlineStr">
        <is>
          <t>P3</t>
        </is>
      </c>
      <c r="M9" s="2" t="inlineStr">
        <is>
          <t>R03, R08</t>
        </is>
      </c>
    </row>
    <row r="10">
      <c r="A10" s="2" t="inlineStr">
        <is>
          <t>5.9</t>
        </is>
      </c>
      <c r="B10" s="2" t="inlineStr">
        <is>
          <t>Organisationnel</t>
        </is>
      </c>
      <c r="C10" s="2" t="inlineStr">
        <is>
          <t>Inventory of information and other associated assets</t>
        </is>
      </c>
      <c r="D10" s="2" t="inlineStr">
        <is>
          <t>Inventaire des informations et actifs</t>
        </is>
      </c>
      <c r="E10" s="2" t="inlineStr">
        <is>
          <t>Non</t>
        </is>
      </c>
      <c r="F10" s="2" t="inlineStr">
        <is>
          <t>Oui</t>
        </is>
      </c>
      <c r="G10" s="2" t="inlineStr">
        <is>
          <t>Pas d'inventaire ; les PC et comptes sont connus 'de mémoire'.</t>
        </is>
      </c>
      <c r="H10" s="2" t="n">
        <v>1</v>
      </c>
      <c r="I10" s="2" t="n">
        <v>3</v>
      </c>
      <c r="J10" s="2" t="n">
        <v>2</v>
      </c>
      <c r="K10" s="2" t="inlineStr">
        <is>
          <t>Tenir un inventaire (tableur) : matériels, comptes, logiciels, données, propriétaire.</t>
        </is>
      </c>
      <c r="L10" s="2" t="inlineStr">
        <is>
          <t>P1</t>
        </is>
      </c>
      <c r="M10" s="2" t="inlineStr">
        <is>
          <t>Tous</t>
        </is>
      </c>
    </row>
    <row r="11">
      <c r="A11" s="2" t="inlineStr">
        <is>
          <t>5.10</t>
        </is>
      </c>
      <c r="B11" s="2" t="inlineStr">
        <is>
          <t>Organisationnel</t>
        </is>
      </c>
      <c r="C11" s="2" t="inlineStr">
        <is>
          <t>Acceptable use of information and other associated assets</t>
        </is>
      </c>
      <c r="D11" s="2" t="inlineStr">
        <is>
          <t>Utilisation correcte des actifs</t>
        </is>
      </c>
      <c r="E11" s="2" t="inlineStr">
        <is>
          <t>Non</t>
        </is>
      </c>
      <c r="F11" s="2" t="inlineStr">
        <is>
          <t>Oui</t>
        </is>
      </c>
      <c r="G11" s="2" t="inlineStr">
        <is>
          <t>Pas de charte ; usage personnel des PC et clés USB libre.</t>
        </is>
      </c>
      <c r="H11" s="2" t="n">
        <v>0</v>
      </c>
      <c r="I11" s="2" t="n">
        <v>3</v>
      </c>
      <c r="J11" s="2" t="n">
        <v>3</v>
      </c>
      <c r="K11" s="2" t="inlineStr">
        <is>
          <t>Charte informatique signée, annexée au règlement intérieur.</t>
        </is>
      </c>
      <c r="L11" s="2" t="inlineStr">
        <is>
          <t>P2</t>
        </is>
      </c>
      <c r="M11" s="2" t="inlineStr">
        <is>
          <t>R01, R02, R12</t>
        </is>
      </c>
    </row>
    <row r="12">
      <c r="A12" s="2" t="inlineStr">
        <is>
          <t>5.11</t>
        </is>
      </c>
      <c r="B12" s="2" t="inlineStr">
        <is>
          <t>Organisationnel</t>
        </is>
      </c>
      <c r="C12" s="2" t="inlineStr">
        <is>
          <t>Return of assets</t>
        </is>
      </c>
      <c r="D12" s="2" t="inlineStr">
        <is>
          <t>Restitution des actifs</t>
        </is>
      </c>
      <c r="E12" s="2" t="inlineStr">
        <is>
          <t>Non</t>
        </is>
      </c>
      <c r="F12" s="2" t="inlineStr">
        <is>
          <t>Oui</t>
        </is>
      </c>
      <c r="G12" s="2" t="inlineStr">
        <is>
          <t>Restitution du matériel au départ, mais pas des comptes ni des données.</t>
        </is>
      </c>
      <c r="H12" s="2" t="n">
        <v>1</v>
      </c>
      <c r="I12" s="2" t="n">
        <v>3</v>
      </c>
      <c r="J12" s="2" t="n">
        <v>2</v>
      </c>
      <c r="K12" s="2" t="inlineStr">
        <is>
          <t>Check-list de départ (matériel + comptes + données) signée.</t>
        </is>
      </c>
      <c r="L12" s="2" t="inlineStr">
        <is>
          <t>P2</t>
        </is>
      </c>
      <c r="M12" s="2" t="inlineStr">
        <is>
          <t>R11, R12</t>
        </is>
      </c>
    </row>
    <row r="13">
      <c r="A13" s="2" t="inlineStr">
        <is>
          <t>5.12</t>
        </is>
      </c>
      <c r="B13" s="2" t="inlineStr">
        <is>
          <t>Organisationnel</t>
        </is>
      </c>
      <c r="C13" s="2" t="inlineStr">
        <is>
          <t>Classification of information</t>
        </is>
      </c>
      <c r="D13" s="2" t="inlineStr">
        <is>
          <t>Classification de l'information</t>
        </is>
      </c>
      <c r="E13" s="2" t="inlineStr">
        <is>
          <t>Non</t>
        </is>
      </c>
      <c r="F13" s="2" t="inlineStr">
        <is>
          <t>Oui</t>
        </is>
      </c>
      <c r="G13" s="2" t="inlineStr">
        <is>
          <t>Aucune classification.</t>
        </is>
      </c>
      <c r="H13" s="2" t="n">
        <v>0</v>
      </c>
      <c r="I13" s="2" t="n">
        <v>2</v>
      </c>
      <c r="J13" s="2" t="n">
        <v>2</v>
      </c>
      <c r="K13" s="2" t="inlineStr">
        <is>
          <t>Schéma simple à 3 niveaux : Public / Interne / Confidentiel (données clients, RH, finance).</t>
        </is>
      </c>
      <c r="L13" s="2" t="inlineStr">
        <is>
          <t>P3</t>
        </is>
      </c>
      <c r="M13" s="2" t="inlineStr">
        <is>
          <t>R03</t>
        </is>
      </c>
    </row>
    <row r="14">
      <c r="A14" s="2" t="inlineStr">
        <is>
          <t>5.13</t>
        </is>
      </c>
      <c r="B14" s="2" t="inlineStr">
        <is>
          <t>Organisationnel</t>
        </is>
      </c>
      <c r="C14" s="2" t="inlineStr">
        <is>
          <t>Labelling of information</t>
        </is>
      </c>
      <c r="D14" s="2" t="inlineStr">
        <is>
          <t>Marquage de l'information</t>
        </is>
      </c>
      <c r="E14" s="2" t="inlineStr">
        <is>
          <t>Non</t>
        </is>
      </c>
      <c r="F14" s="2" t="inlineStr">
        <is>
          <t>Oui</t>
        </is>
      </c>
      <c r="G14" s="2" t="inlineStr">
        <is>
          <t>Aucun marquage.</t>
        </is>
      </c>
      <c r="H14" s="2" t="n">
        <v>0</v>
      </c>
      <c r="I14" s="2" t="n">
        <v>1</v>
      </c>
      <c r="J14" s="2" t="n">
        <v>1</v>
      </c>
      <c r="K14" s="2" t="inlineStr">
        <is>
          <t>Marquer 'Confidentiel' les exports clients et documents RH/financiers.</t>
        </is>
      </c>
      <c r="L14" s="2" t="inlineStr">
        <is>
          <t>P3</t>
        </is>
      </c>
      <c r="M14" s="2" t="inlineStr"/>
    </row>
    <row r="15">
      <c r="A15" s="2" t="inlineStr">
        <is>
          <t>5.14</t>
        </is>
      </c>
      <c r="B15" s="2" t="inlineStr">
        <is>
          <t>Organisationnel</t>
        </is>
      </c>
      <c r="C15" s="2" t="inlineStr">
        <is>
          <t>Information transfer</t>
        </is>
      </c>
      <c r="D15" s="2" t="inlineStr">
        <is>
          <t>Transfert de l'information</t>
        </is>
      </c>
      <c r="E15" s="2" t="inlineStr">
        <is>
          <t>Non</t>
        </is>
      </c>
      <c r="F15" s="2" t="inlineStr">
        <is>
          <t>Oui</t>
        </is>
      </c>
      <c r="G15" s="2" t="inlineStr">
        <is>
          <t>Fichiers clients envoyés au transporteur par WhatsApp/Gmail sans règle.</t>
        </is>
      </c>
      <c r="H15" s="2" t="n">
        <v>1</v>
      </c>
      <c r="I15" s="2" t="n">
        <v>3</v>
      </c>
      <c r="J15" s="2" t="n">
        <v>2</v>
      </c>
      <c r="K15" s="2" t="inlineStr">
        <is>
          <t>Règles de transfert : canal approuvé, minimisation, lien partagé à durée limitée.</t>
        </is>
      </c>
      <c r="L15" s="2" t="inlineStr">
        <is>
          <t>P2</t>
        </is>
      </c>
      <c r="M15" s="2" t="inlineStr">
        <is>
          <t>R03, R07</t>
        </is>
      </c>
    </row>
    <row r="16">
      <c r="A16" s="2" t="inlineStr">
        <is>
          <t>5.15</t>
        </is>
      </c>
      <c r="B16" s="2" t="inlineStr">
        <is>
          <t>Organisationnel</t>
        </is>
      </c>
      <c r="C16" s="2" t="inlineStr">
        <is>
          <t>Access control</t>
        </is>
      </c>
      <c r="D16" s="2" t="inlineStr">
        <is>
          <t>Contrôle d'accès</t>
        </is>
      </c>
      <c r="E16" s="2" t="inlineStr">
        <is>
          <t>Non</t>
        </is>
      </c>
      <c r="F16" s="2" t="inlineStr">
        <is>
          <t>Oui</t>
        </is>
      </c>
      <c r="G16" s="2" t="inlineStr">
        <is>
          <t>Accès donnés 'à la demande', pas de règle du moindre privilège.</t>
        </is>
      </c>
      <c r="H16" s="2" t="n">
        <v>1</v>
      </c>
      <c r="I16" s="2" t="n">
        <v>3</v>
      </c>
      <c r="J16" s="2" t="n">
        <v>2</v>
      </c>
      <c r="K16" s="2" t="inlineStr">
        <is>
          <t>Politique de contrôle d'accès : besoin d'en connaître + revue semestrielle.</t>
        </is>
      </c>
      <c r="L16" s="2" t="inlineStr">
        <is>
          <t>P1</t>
        </is>
      </c>
      <c r="M16" s="2" t="inlineStr">
        <is>
          <t>R01, R05, R11</t>
        </is>
      </c>
    </row>
    <row r="17">
      <c r="A17" s="2" t="inlineStr">
        <is>
          <t>5.16</t>
        </is>
      </c>
      <c r="B17" s="2" t="inlineStr">
        <is>
          <t>Organisationnel</t>
        </is>
      </c>
      <c r="C17" s="2" t="inlineStr">
        <is>
          <t>Identity management</t>
        </is>
      </c>
      <c r="D17" s="2" t="inlineStr">
        <is>
          <t>Gestion des identités</t>
        </is>
      </c>
      <c r="E17" s="2" t="inlineStr">
        <is>
          <t>Non</t>
        </is>
      </c>
      <c r="F17" s="2" t="inlineStr">
        <is>
          <t>Oui</t>
        </is>
      </c>
      <c r="G17" s="2" t="inlineStr">
        <is>
          <t>Compte du panneau d'hébergement et compte admin du site partagés par 3 personnes.</t>
        </is>
      </c>
      <c r="H17" s="2" t="n">
        <v>1</v>
      </c>
      <c r="I17" s="2" t="n">
        <v>3</v>
      </c>
      <c r="J17" s="2" t="n">
        <v>2</v>
      </c>
      <c r="K17" s="2" t="inlineStr">
        <is>
          <t>Comptes nominatifs uniquement ; suppression des comptes partagés.</t>
        </is>
      </c>
      <c r="L17" s="2" t="inlineStr">
        <is>
          <t>P1</t>
        </is>
      </c>
      <c r="M17" s="2" t="inlineStr">
        <is>
          <t>R05, R11</t>
        </is>
      </c>
    </row>
    <row r="18">
      <c r="A18" s="2" t="inlineStr">
        <is>
          <t>5.17</t>
        </is>
      </c>
      <c r="B18" s="2" t="inlineStr">
        <is>
          <t>Organisationnel</t>
        </is>
      </c>
      <c r="C18" s="2" t="inlineStr">
        <is>
          <t>Authentication information</t>
        </is>
      </c>
      <c r="D18" s="2" t="inlineStr">
        <is>
          <t>Informations d'authentification</t>
        </is>
      </c>
      <c r="E18" s="2" t="inlineStr">
        <is>
          <t>Non</t>
        </is>
      </c>
      <c r="F18" s="2" t="inlineStr">
        <is>
          <t>Oui</t>
        </is>
      </c>
      <c r="G18" s="2" t="inlineStr">
        <is>
          <t>Mots de passe réutilisés, notés sur papier ; pas de gestionnaire de mots de passe.</t>
        </is>
      </c>
      <c r="H18" s="2" t="n">
        <v>1</v>
      </c>
      <c r="I18" s="2" t="n">
        <v>3</v>
      </c>
      <c r="J18" s="2" t="n">
        <v>2</v>
      </c>
      <c r="K18" s="2" t="inlineStr">
        <is>
          <t>Gestionnaire de mots de passe d'équipe + règles de longueur (phrases de passe).</t>
        </is>
      </c>
      <c r="L18" s="2" t="inlineStr">
        <is>
          <t>P1</t>
        </is>
      </c>
      <c r="M18" s="2" t="inlineStr">
        <is>
          <t>R01, R05</t>
        </is>
      </c>
    </row>
    <row r="19">
      <c r="A19" s="2" t="inlineStr">
        <is>
          <t>5.18</t>
        </is>
      </c>
      <c r="B19" s="2" t="inlineStr">
        <is>
          <t>Organisationnel</t>
        </is>
      </c>
      <c r="C19" s="2" t="inlineStr">
        <is>
          <t>Access rights</t>
        </is>
      </c>
      <c r="D19" s="2" t="inlineStr">
        <is>
          <t>Droits d'accès</t>
        </is>
      </c>
      <c r="E19" s="2" t="inlineStr">
        <is>
          <t>Non</t>
        </is>
      </c>
      <c r="F19" s="2" t="inlineStr">
        <is>
          <t>Oui</t>
        </is>
      </c>
      <c r="G19" s="2" t="inlineStr">
        <is>
          <t>Un ancien stagiaire et l'ancien prestataire disposent encore d'accès.</t>
        </is>
      </c>
      <c r="H19" s="2" t="n">
        <v>1</v>
      </c>
      <c r="I19" s="2" t="n">
        <v>3</v>
      </c>
      <c r="J19" s="2" t="n">
        <v>2</v>
      </c>
      <c r="K19" s="2" t="inlineStr">
        <is>
          <t>Procédure arrivée/départ + revue des droits tous les 6 mois.</t>
        </is>
      </c>
      <c r="L19" s="2" t="inlineStr">
        <is>
          <t>P1</t>
        </is>
      </c>
      <c r="M19" s="2" t="inlineStr">
        <is>
          <t>R11</t>
        </is>
      </c>
    </row>
    <row r="20">
      <c r="A20" s="2" t="inlineStr">
        <is>
          <t>5.19</t>
        </is>
      </c>
      <c r="B20" s="2" t="inlineStr">
        <is>
          <t>Organisationnel</t>
        </is>
      </c>
      <c r="C20" s="2" t="inlineStr">
        <is>
          <t>Information security in supplier relationships</t>
        </is>
      </c>
      <c r="D20" s="2" t="inlineStr">
        <is>
          <t>Sécurité dans les relations fournisseurs</t>
        </is>
      </c>
      <c r="E20" s="2" t="inlineStr">
        <is>
          <t>Non</t>
        </is>
      </c>
      <c r="F20" s="2" t="inlineStr">
        <is>
          <t>Oui</t>
        </is>
      </c>
      <c r="G20" s="2" t="inlineStr">
        <is>
          <t>Fournisseurs (hébergeur, freelance web, transporteur, cabinet comptable) choisis sur le prix.</t>
        </is>
      </c>
      <c r="H20" s="2" t="n">
        <v>0</v>
      </c>
      <c r="I20" s="2" t="n">
        <v>2</v>
      </c>
      <c r="J20" s="2" t="n">
        <v>2</v>
      </c>
      <c r="K20" s="2" t="inlineStr">
        <is>
          <t>Liste des fournisseurs critiques + exigences minimales de sécurité.</t>
        </is>
      </c>
      <c r="L20" s="2" t="inlineStr">
        <is>
          <t>P2</t>
        </is>
      </c>
      <c r="M20" s="2" t="inlineStr">
        <is>
          <t>R05, R06, R11</t>
        </is>
      </c>
    </row>
    <row r="21">
      <c r="A21" s="2" t="inlineStr">
        <is>
          <t>5.20</t>
        </is>
      </c>
      <c r="B21" s="2" t="inlineStr">
        <is>
          <t>Organisationnel</t>
        </is>
      </c>
      <c r="C21" s="2" t="inlineStr">
        <is>
          <t>Addressing information security within supplier agreements</t>
        </is>
      </c>
      <c r="D21" s="2" t="inlineStr">
        <is>
          <t>Sécurité dans les accords fournisseurs</t>
        </is>
      </c>
      <c r="E21" s="2" t="inlineStr">
        <is>
          <t>Non</t>
        </is>
      </c>
      <c r="F21" s="2" t="inlineStr">
        <is>
          <t>Oui</t>
        </is>
      </c>
      <c r="G21" s="2" t="inlineStr">
        <is>
          <t>Pas de contrat écrit avec le freelance web ; CGV standard de l'hébergeur.</t>
        </is>
      </c>
      <c r="H21" s="2" t="n">
        <v>0</v>
      </c>
      <c r="I21" s="2" t="n">
        <v>3</v>
      </c>
      <c r="J21" s="2" t="n">
        <v>3</v>
      </c>
      <c r="K21" s="2" t="inlineStr">
        <is>
          <t>Clauses sécurité, confidentialité et sous-traitance 09-08 dans les contrats.</t>
        </is>
      </c>
      <c r="L21" s="2" t="inlineStr">
        <is>
          <t>P1</t>
        </is>
      </c>
      <c r="M21" s="2" t="inlineStr">
        <is>
          <t>R03, R09</t>
        </is>
      </c>
    </row>
    <row r="22">
      <c r="A22" s="2" t="inlineStr">
        <is>
          <t>5.21</t>
        </is>
      </c>
      <c r="B22" s="2" t="inlineStr">
        <is>
          <t>Organisationnel</t>
        </is>
      </c>
      <c r="C22" s="2" t="inlineStr">
        <is>
          <t>Managing information security in the ICT supply chain</t>
        </is>
      </c>
      <c r="D22" s="2" t="inlineStr">
        <is>
          <t>Sécurité dans la chaîne d'approvisionnement TIC</t>
        </is>
      </c>
      <c r="E22" s="2" t="inlineStr">
        <is>
          <t>Non</t>
        </is>
      </c>
      <c r="F22" s="2" t="inlineStr">
        <is>
          <t>Oui</t>
        </is>
      </c>
      <c r="G22" s="2" t="inlineStr">
        <is>
          <t>Bibliothèques PHP/JS ajoutées par le prestataire sans suivi de versions.</t>
        </is>
      </c>
      <c r="H22" s="2" t="n">
        <v>1</v>
      </c>
      <c r="I22" s="2" t="n">
        <v>2</v>
      </c>
      <c r="J22" s="2" t="n">
        <v>1</v>
      </c>
      <c r="K22" s="2" t="inlineStr">
        <is>
          <t>Exiger la liste des composants tiers et leur mise à jour.</t>
        </is>
      </c>
      <c r="L22" s="2" t="inlineStr">
        <is>
          <t>P3</t>
        </is>
      </c>
      <c r="M22" s="2" t="inlineStr">
        <is>
          <t>R03, R08</t>
        </is>
      </c>
    </row>
    <row r="23">
      <c r="A23" s="2" t="inlineStr">
        <is>
          <t>5.22</t>
        </is>
      </c>
      <c r="B23" s="2" t="inlineStr">
        <is>
          <t>Organisationnel</t>
        </is>
      </c>
      <c r="C23" s="2" t="inlineStr">
        <is>
          <t>Monitoring, review and change management of supplier services</t>
        </is>
      </c>
      <c r="D23" s="2" t="inlineStr">
        <is>
          <t>Surveillance et revue des services fournisseurs</t>
        </is>
      </c>
      <c r="E23" s="2" t="inlineStr">
        <is>
          <t>Non</t>
        </is>
      </c>
      <c r="F23" s="2" t="inlineStr">
        <is>
          <t>Oui</t>
        </is>
      </c>
      <c r="G23" s="2" t="inlineStr">
        <is>
          <t>Aucun suivi de la qualité de service de l'hébergeur.</t>
        </is>
      </c>
      <c r="H23" s="2" t="n">
        <v>0</v>
      </c>
      <c r="I23" s="2" t="n">
        <v>2</v>
      </c>
      <c r="J23" s="2" t="n">
        <v>2</v>
      </c>
      <c r="K23" s="2" t="inlineStr">
        <is>
          <t>Revue annuelle des fournisseurs critiques (incidents, SLA, sauvegardes).</t>
        </is>
      </c>
      <c r="L23" s="2" t="inlineStr">
        <is>
          <t>P3</t>
        </is>
      </c>
      <c r="M23" s="2" t="inlineStr">
        <is>
          <t>R06</t>
        </is>
      </c>
    </row>
    <row r="24">
      <c r="A24" s="2" t="inlineStr">
        <is>
          <t>5.23</t>
        </is>
      </c>
      <c r="B24" s="2" t="inlineStr">
        <is>
          <t>Organisationnel</t>
        </is>
      </c>
      <c r="C24" s="2" t="inlineStr">
        <is>
          <t>Information security for use of cloud services</t>
        </is>
      </c>
      <c r="D24" s="2" t="inlineStr">
        <is>
          <t>Sécurité pour l'utilisation des services cloud</t>
        </is>
      </c>
      <c r="E24" s="2" t="inlineStr">
        <is>
          <t>Oui</t>
        </is>
      </c>
      <c r="F24" s="2" t="inlineStr">
        <is>
          <t>Oui</t>
        </is>
      </c>
      <c r="G24" s="2" t="inlineStr">
        <is>
          <t>Comptes Gmail gratuits utilisés pour l'activité ; Drive partagé par liens publics.</t>
        </is>
      </c>
      <c r="H24" s="2" t="n">
        <v>1</v>
      </c>
      <c r="I24" s="2" t="n">
        <v>3</v>
      </c>
      <c r="J24" s="2" t="n">
        <v>2</v>
      </c>
      <c r="K24" s="2" t="inlineStr">
        <is>
          <t>Règles d'usage cloud : comptes professionnels, MFA, partage restreint, localisation des données.</t>
        </is>
      </c>
      <c r="L24" s="2" t="inlineStr">
        <is>
          <t>P1</t>
        </is>
      </c>
      <c r="M24" s="2" t="inlineStr">
        <is>
          <t>R01, R09</t>
        </is>
      </c>
    </row>
    <row r="25">
      <c r="A25" s="2" t="inlineStr">
        <is>
          <t>5.24</t>
        </is>
      </c>
      <c r="B25" s="2" t="inlineStr">
        <is>
          <t>Organisationnel</t>
        </is>
      </c>
      <c r="C25" s="2" t="inlineStr">
        <is>
          <t>Information security incident management planning and preparation</t>
        </is>
      </c>
      <c r="D25" s="2" t="inlineStr">
        <is>
          <t>Planification de la gestion des incidents</t>
        </is>
      </c>
      <c r="E25" s="2" t="inlineStr">
        <is>
          <t>Non</t>
        </is>
      </c>
      <c r="F25" s="2" t="inlineStr">
        <is>
          <t>Oui</t>
        </is>
      </c>
      <c r="G25" s="2" t="inlineStr">
        <is>
          <t>Aucune procédure ; en cas d'incident on 'appelle le prestataire'.</t>
        </is>
      </c>
      <c r="H25" s="2" t="n">
        <v>0</v>
      </c>
      <c r="I25" s="2" t="n">
        <v>2</v>
      </c>
      <c r="J25" s="2" t="n">
        <v>2</v>
      </c>
      <c r="K25" s="2" t="inlineStr">
        <is>
          <t>Fiche réflexe incident d'une page (qui appeler, quoi préserver, quoi notifier).</t>
        </is>
      </c>
      <c r="L25" s="2" t="inlineStr">
        <is>
          <t>P2</t>
        </is>
      </c>
      <c r="M25" s="2" t="inlineStr">
        <is>
          <t>R01, R02, R03</t>
        </is>
      </c>
    </row>
    <row r="26">
      <c r="A26" s="2" t="inlineStr">
        <is>
          <t>5.25</t>
        </is>
      </c>
      <c r="B26" s="2" t="inlineStr">
        <is>
          <t>Organisationnel</t>
        </is>
      </c>
      <c r="C26" s="2" t="inlineStr">
        <is>
          <t>Assessment and decision on information security events</t>
        </is>
      </c>
      <c r="D26" s="2" t="inlineStr">
        <is>
          <t>Appréciation des événements de sécurité</t>
        </is>
      </c>
      <c r="E26" s="2" t="inlineStr">
        <is>
          <t>Non</t>
        </is>
      </c>
      <c r="F26" s="2" t="inlineStr">
        <is>
          <t>Oui</t>
        </is>
      </c>
      <c r="G26" s="2" t="inlineStr">
        <is>
          <t>Pas de critères pour qualifier un événement en incident.</t>
        </is>
      </c>
      <c r="H26" s="2" t="n">
        <v>0</v>
      </c>
      <c r="I26" s="2" t="n">
        <v>2</v>
      </c>
      <c r="J26" s="2" t="n">
        <v>2</v>
      </c>
      <c r="K26" s="2" t="inlineStr">
        <is>
          <t>Critères simples de qualification dans la fiche réflexe.</t>
        </is>
      </c>
      <c r="L26" s="2" t="inlineStr">
        <is>
          <t>P3</t>
        </is>
      </c>
      <c r="M26" s="2" t="inlineStr">
        <is>
          <t>R01, R02</t>
        </is>
      </c>
    </row>
    <row r="27">
      <c r="A27" s="2" t="inlineStr">
        <is>
          <t>5.26</t>
        </is>
      </c>
      <c r="B27" s="2" t="inlineStr">
        <is>
          <t>Organisationnel</t>
        </is>
      </c>
      <c r="C27" s="2" t="inlineStr">
        <is>
          <t>Response to information security incidents</t>
        </is>
      </c>
      <c r="D27" s="2" t="inlineStr">
        <is>
          <t>Réponse aux incidents</t>
        </is>
      </c>
      <c r="E27" s="2" t="inlineStr">
        <is>
          <t>Non</t>
        </is>
      </c>
      <c r="F27" s="2" t="inlineStr">
        <is>
          <t>Oui</t>
        </is>
      </c>
      <c r="G27" s="2" t="inlineStr">
        <is>
          <t>Pas de réponse organisée.</t>
        </is>
      </c>
      <c r="H27" s="2" t="n">
        <v>0</v>
      </c>
      <c r="I27" s="2" t="n">
        <v>2</v>
      </c>
      <c r="J27" s="2" t="n">
        <v>2</v>
      </c>
      <c r="K27" s="2" t="inlineStr">
        <is>
          <t>Scénarios de réponse : rançongiciel, compte compromis, fuite de données.</t>
        </is>
      </c>
      <c r="L27" s="2" t="inlineStr">
        <is>
          <t>P2</t>
        </is>
      </c>
      <c r="M27" s="2" t="inlineStr">
        <is>
          <t>R02, R03</t>
        </is>
      </c>
    </row>
    <row r="28">
      <c r="A28" s="2" t="inlineStr">
        <is>
          <t>5.27</t>
        </is>
      </c>
      <c r="B28" s="2" t="inlineStr">
        <is>
          <t>Organisationnel</t>
        </is>
      </c>
      <c r="C28" s="2" t="inlineStr">
        <is>
          <t>Learning from information security incidents</t>
        </is>
      </c>
      <c r="D28" s="2" t="inlineStr">
        <is>
          <t>Tirer des enseignements des incidents</t>
        </is>
      </c>
      <c r="E28" s="2" t="inlineStr">
        <is>
          <t>Non</t>
        </is>
      </c>
      <c r="F28" s="2" t="inlineStr">
        <is>
          <t>Oui</t>
        </is>
      </c>
      <c r="G28" s="2" t="inlineStr">
        <is>
          <t>Le phishing reçu en 2025 n'a donné lieu à aucun retour d'expérience.</t>
        </is>
      </c>
      <c r="H28" s="2" t="n">
        <v>0</v>
      </c>
      <c r="I28" s="2" t="n">
        <v>2</v>
      </c>
      <c r="J28" s="2" t="n">
        <v>2</v>
      </c>
      <c r="K28" s="2" t="inlineStr">
        <is>
          <t>Registre des incidents + retour d'expérience court après chaque incident.</t>
        </is>
      </c>
      <c r="L28" s="2" t="inlineStr">
        <is>
          <t>P3</t>
        </is>
      </c>
      <c r="M28" s="2" t="inlineStr"/>
    </row>
    <row r="29">
      <c r="A29" s="2" t="inlineStr">
        <is>
          <t>5.28</t>
        </is>
      </c>
      <c r="B29" s="2" t="inlineStr">
        <is>
          <t>Organisationnel</t>
        </is>
      </c>
      <c r="C29" s="2" t="inlineStr">
        <is>
          <t>Collection of evidence</t>
        </is>
      </c>
      <c r="D29" s="2" t="inlineStr">
        <is>
          <t>Collecte des preuves</t>
        </is>
      </c>
      <c r="E29" s="2" t="inlineStr">
        <is>
          <t>Non</t>
        </is>
      </c>
      <c r="F29" s="2" t="inlineStr">
        <is>
          <t>Oui</t>
        </is>
      </c>
      <c r="G29" s="2" t="inlineStr">
        <is>
          <t>Aucune pratique de conservation des preuves.</t>
        </is>
      </c>
      <c r="H29" s="2" t="n">
        <v>0</v>
      </c>
      <c r="I29" s="2" t="n">
        <v>1</v>
      </c>
      <c r="J29" s="2" t="n">
        <v>1</v>
      </c>
      <c r="K29" s="2" t="inlineStr">
        <is>
          <t>Consignes de préservation (ne pas éteindre/effacer, captures, en-têtes d'emails).</t>
        </is>
      </c>
      <c r="L29" s="2" t="inlineStr">
        <is>
          <t>P3</t>
        </is>
      </c>
      <c r="M29" s="2" t="inlineStr">
        <is>
          <t>R03, R07</t>
        </is>
      </c>
    </row>
    <row r="30">
      <c r="A30" s="2" t="inlineStr">
        <is>
          <t>5.29</t>
        </is>
      </c>
      <c r="B30" s="2" t="inlineStr">
        <is>
          <t>Organisationnel</t>
        </is>
      </c>
      <c r="C30" s="2" t="inlineStr">
        <is>
          <t>Information security during disruption</t>
        </is>
      </c>
      <c r="D30" s="2" t="inlineStr">
        <is>
          <t>Sécurité pendant une perturbation</t>
        </is>
      </c>
      <c r="E30" s="2" t="inlineStr">
        <is>
          <t>Non</t>
        </is>
      </c>
      <c r="F30" s="2" t="inlineStr">
        <is>
          <t>Oui</t>
        </is>
      </c>
      <c r="G30" s="2" t="inlineStr">
        <is>
          <t>Aucun mode dégradé prévu.</t>
        </is>
      </c>
      <c r="H30" s="2" t="n">
        <v>0</v>
      </c>
      <c r="I30" s="2" t="n">
        <v>2</v>
      </c>
      <c r="J30" s="2" t="n">
        <v>2</v>
      </c>
      <c r="K30" s="2" t="inlineStr">
        <is>
          <t>Mode dégradé : prise de commandes par téléphone/WhatsApp sur formulaire papier.</t>
        </is>
      </c>
      <c r="L30" s="2" t="inlineStr">
        <is>
          <t>P3</t>
        </is>
      </c>
      <c r="M30" s="2" t="inlineStr">
        <is>
          <t>R02, R06</t>
        </is>
      </c>
    </row>
    <row r="31">
      <c r="A31" s="2" t="inlineStr">
        <is>
          <t>5.30</t>
        </is>
      </c>
      <c r="B31" s="2" t="inlineStr">
        <is>
          <t>Organisationnel</t>
        </is>
      </c>
      <c r="C31" s="2" t="inlineStr">
        <is>
          <t>ICT readiness for business continuity</t>
        </is>
      </c>
      <c r="D31" s="2" t="inlineStr">
        <is>
          <t>Préparation des TIC pour la continuité</t>
        </is>
      </c>
      <c r="E31" s="2" t="inlineStr">
        <is>
          <t>Oui</t>
        </is>
      </c>
      <c r="F31" s="2" t="inlineStr">
        <is>
          <t>Oui</t>
        </is>
      </c>
      <c r="G31" s="2" t="inlineStr">
        <is>
          <t>Pas d'objectifs de reprise ; restauration jamais testée.</t>
        </is>
      </c>
      <c r="H31" s="2" t="n">
        <v>0</v>
      </c>
      <c r="I31" s="2" t="n">
        <v>2</v>
      </c>
      <c r="J31" s="2" t="n">
        <v>2</v>
      </c>
      <c r="K31" s="2" t="inlineStr">
        <is>
          <t>Définir RTO/RPO simples (ex. site &lt; 24 h, compta &lt; 48 h) et tester la restauration.</t>
        </is>
      </c>
      <c r="L31" s="2" t="inlineStr">
        <is>
          <t>P2</t>
        </is>
      </c>
      <c r="M31" s="2" t="inlineStr">
        <is>
          <t>R02, R06</t>
        </is>
      </c>
    </row>
    <row r="32">
      <c r="A32" s="2" t="inlineStr">
        <is>
          <t>5.31</t>
        </is>
      </c>
      <c r="B32" s="2" t="inlineStr">
        <is>
          <t>Organisationnel</t>
        </is>
      </c>
      <c r="C32" s="2" t="inlineStr">
        <is>
          <t>Legal, statutory, regulatory and contractual requirements</t>
        </is>
      </c>
      <c r="D32" s="2" t="inlineStr">
        <is>
          <t>Exigences légales et contractuelles</t>
        </is>
      </c>
      <c r="E32" s="2" t="inlineStr">
        <is>
          <t>Non</t>
        </is>
      </c>
      <c r="F32" s="2" t="inlineStr">
        <is>
          <t>Oui</t>
        </is>
      </c>
      <c r="G32" s="2" t="inlineStr">
        <is>
          <t>Obligations 09-08 méconnues ; aucun registre des exigences.</t>
        </is>
      </c>
      <c r="H32" s="2" t="n">
        <v>1</v>
      </c>
      <c r="I32" s="2" t="n">
        <v>3</v>
      </c>
      <c r="J32" s="2" t="n">
        <v>2</v>
      </c>
      <c r="K32" s="2" t="inlineStr">
        <is>
          <t>Registre des exigences : loi 09-08, code pénal (STAD), droit de la consommation, contrats.</t>
        </is>
      </c>
      <c r="L32" s="2" t="inlineStr">
        <is>
          <t>P1</t>
        </is>
      </c>
      <c r="M32" s="2" t="inlineStr">
        <is>
          <t>R09</t>
        </is>
      </c>
    </row>
    <row r="33">
      <c r="A33" s="2" t="inlineStr">
        <is>
          <t>5.32</t>
        </is>
      </c>
      <c r="B33" s="2" t="inlineStr">
        <is>
          <t>Organisationnel</t>
        </is>
      </c>
      <c r="C33" s="2" t="inlineStr">
        <is>
          <t>Intellectual property rights</t>
        </is>
      </c>
      <c r="D33" s="2" t="inlineStr">
        <is>
          <t>Droits de propriété intellectuelle</t>
        </is>
      </c>
      <c r="E33" s="2" t="inlineStr">
        <is>
          <t>Non</t>
        </is>
      </c>
      <c r="F33" s="2" t="inlineStr">
        <is>
          <t>Oui</t>
        </is>
      </c>
      <c r="G33" s="2" t="inlineStr">
        <is>
          <t>Licences Windows OEM ; une copie non licenciée d'un logiciel bureautique sur un poste.</t>
        </is>
      </c>
      <c r="H33" s="2" t="n">
        <v>2</v>
      </c>
      <c r="I33" s="2" t="n">
        <v>3</v>
      </c>
      <c r="J33" s="2" t="n">
        <v>1</v>
      </c>
      <c r="K33" s="2" t="inlineStr">
        <is>
          <t>Régulariser les licences ; vérifier les droits sur photos/textes du site.</t>
        </is>
      </c>
      <c r="L33" s="2" t="inlineStr">
        <is>
          <t>P3</t>
        </is>
      </c>
      <c r="M33" s="2" t="inlineStr"/>
    </row>
    <row r="34">
      <c r="A34" s="2" t="inlineStr">
        <is>
          <t>5.33</t>
        </is>
      </c>
      <c r="B34" s="2" t="inlineStr">
        <is>
          <t>Organisationnel</t>
        </is>
      </c>
      <c r="C34" s="2" t="inlineStr">
        <is>
          <t>Protection of records</t>
        </is>
      </c>
      <c r="D34" s="2" t="inlineStr">
        <is>
          <t>Protection des enregistrements</t>
        </is>
      </c>
      <c r="E34" s="2" t="inlineStr">
        <is>
          <t>Non</t>
        </is>
      </c>
      <c r="F34" s="2" t="inlineStr">
        <is>
          <t>Oui</t>
        </is>
      </c>
      <c r="G34" s="2" t="inlineStr">
        <is>
          <t>Factures conservées en papier + logiciel de facturation local non sauvegardé hors site.</t>
        </is>
      </c>
      <c r="H34" s="2" t="n">
        <v>2</v>
      </c>
      <c r="I34" s="2" t="n">
        <v>3</v>
      </c>
      <c r="J34" s="2" t="n">
        <v>1</v>
      </c>
      <c r="K34" s="2" t="inlineStr">
        <is>
          <t>Durées de conservation et sauvegarde des enregistrements comptables.</t>
        </is>
      </c>
      <c r="L34" s="2" t="inlineStr">
        <is>
          <t>P2</t>
        </is>
      </c>
      <c r="M34" s="2" t="inlineStr">
        <is>
          <t>R02, R06</t>
        </is>
      </c>
    </row>
    <row r="35">
      <c r="A35" s="2" t="inlineStr">
        <is>
          <t>5.34</t>
        </is>
      </c>
      <c r="B35" s="2" t="inlineStr">
        <is>
          <t>Organisationnel</t>
        </is>
      </c>
      <c r="C35" s="2" t="inlineStr">
        <is>
          <t>Privacy and protection of PII</t>
        </is>
      </c>
      <c r="D35" s="2" t="inlineStr">
        <is>
          <t>Vie privée et protection des DCP</t>
        </is>
      </c>
      <c r="E35" s="2" t="inlineStr">
        <is>
          <t>Non</t>
        </is>
      </c>
      <c r="F35" s="2" t="inlineStr">
        <is>
          <t>Oui</t>
        </is>
      </c>
      <c r="G35" s="2" t="inlineStr">
        <is>
          <t>Aucune déclaration CNDP, pas de politique de confidentialité sur le site.</t>
        </is>
      </c>
      <c r="H35" s="2" t="n">
        <v>0</v>
      </c>
      <c r="I35" s="2" t="n">
        <v>3</v>
      </c>
      <c r="J35" s="2" t="n">
        <v>3</v>
      </c>
      <c r="K35" s="2" t="inlineStr">
        <is>
          <t>Mise en conformité 09-08 (voir check-list dédiée).</t>
        </is>
      </c>
      <c r="L35" s="2" t="inlineStr">
        <is>
          <t>P1</t>
        </is>
      </c>
      <c r="M35" s="2" t="inlineStr">
        <is>
          <t>R03, R09</t>
        </is>
      </c>
    </row>
    <row r="36">
      <c r="A36" s="2" t="inlineStr">
        <is>
          <t>5.35</t>
        </is>
      </c>
      <c r="B36" s="2" t="inlineStr">
        <is>
          <t>Organisationnel</t>
        </is>
      </c>
      <c r="C36" s="2" t="inlineStr">
        <is>
          <t>Independent review of information security</t>
        </is>
      </c>
      <c r="D36" s="2" t="inlineStr">
        <is>
          <t>Revue indépendante de la sécurité</t>
        </is>
      </c>
      <c r="E36" s="2" t="inlineStr">
        <is>
          <t>Non</t>
        </is>
      </c>
      <c r="F36" s="2" t="inlineStr">
        <is>
          <t>Oui</t>
        </is>
      </c>
      <c r="G36" s="2" t="inlineStr">
        <is>
          <t>Le présent audit est la première revue.</t>
        </is>
      </c>
      <c r="H36" s="2" t="n">
        <v>0</v>
      </c>
      <c r="I36" s="2" t="n">
        <v>2</v>
      </c>
      <c r="J36" s="2" t="n">
        <v>2</v>
      </c>
      <c r="K36" s="2" t="inlineStr">
        <is>
          <t>Revue indépendante tous les 2 ans ou après changement majeur.</t>
        </is>
      </c>
      <c r="L36" s="2" t="inlineStr">
        <is>
          <t>P3</t>
        </is>
      </c>
      <c r="M36" s="2" t="inlineStr"/>
    </row>
    <row r="37">
      <c r="A37" s="2" t="inlineStr">
        <is>
          <t>5.36</t>
        </is>
      </c>
      <c r="B37" s="2" t="inlineStr">
        <is>
          <t>Organisationnel</t>
        </is>
      </c>
      <c r="C37" s="2" t="inlineStr">
        <is>
          <t>Compliance with policies, rules and standards for information security</t>
        </is>
      </c>
      <c r="D37" s="2" t="inlineStr">
        <is>
          <t>Conformité aux politiques et normes</t>
        </is>
      </c>
      <c r="E37" s="2" t="inlineStr">
        <is>
          <t>Non</t>
        </is>
      </c>
      <c r="F37" s="2" t="inlineStr">
        <is>
          <t>Oui</t>
        </is>
      </c>
      <c r="G37" s="2" t="inlineStr">
        <is>
          <t>Rien à vérifier faute de politique.</t>
        </is>
      </c>
      <c r="H37" s="2" t="n">
        <v>0</v>
      </c>
      <c r="I37" s="2" t="n">
        <v>2</v>
      </c>
      <c r="J37" s="2" t="n">
        <v>2</v>
      </c>
      <c r="K37" s="2" t="inlineStr">
        <is>
          <t>Contrôle annuel simple (check-list) par le référent sécurité.</t>
        </is>
      </c>
      <c r="L37" s="2" t="inlineStr">
        <is>
          <t>P3</t>
        </is>
      </c>
      <c r="M37" s="2" t="inlineStr"/>
    </row>
    <row r="38">
      <c r="A38" s="2" t="inlineStr">
        <is>
          <t>5.37</t>
        </is>
      </c>
      <c r="B38" s="2" t="inlineStr">
        <is>
          <t>Organisationnel</t>
        </is>
      </c>
      <c r="C38" s="2" t="inlineStr">
        <is>
          <t>Documented operating procedures</t>
        </is>
      </c>
      <c r="D38" s="2" t="inlineStr">
        <is>
          <t>Procédures d'exploitation documentées</t>
        </is>
      </c>
      <c r="E38" s="2" t="inlineStr">
        <is>
          <t>Non</t>
        </is>
      </c>
      <c r="F38" s="2" t="inlineStr">
        <is>
          <t>Oui</t>
        </is>
      </c>
      <c r="G38" s="2" t="inlineStr">
        <is>
          <t>Le prestataire seul connaît la procédure de mise en ligne et de restauration.</t>
        </is>
      </c>
      <c r="H38" s="2" t="n">
        <v>1</v>
      </c>
      <c r="I38" s="2" t="n">
        <v>3</v>
      </c>
      <c r="J38" s="2" t="n">
        <v>2</v>
      </c>
      <c r="K38" s="2" t="inlineStr">
        <is>
          <t>Documenter : sauvegarde/restauration, mise en ligne, création de compte.</t>
        </is>
      </c>
      <c r="L38" s="2" t="inlineStr">
        <is>
          <t>P2</t>
        </is>
      </c>
      <c r="M38" s="2" t="inlineStr">
        <is>
          <t>R06</t>
        </is>
      </c>
    </row>
    <row r="39">
      <c r="A39" s="2" t="inlineStr">
        <is>
          <t>6.1</t>
        </is>
      </c>
      <c r="B39" s="2" t="inlineStr">
        <is>
          <t>Humain</t>
        </is>
      </c>
      <c r="C39" s="2" t="inlineStr">
        <is>
          <t>Screening</t>
        </is>
      </c>
      <c r="D39" s="2" t="inlineStr">
        <is>
          <t>Sélection des candidats</t>
        </is>
      </c>
      <c r="E39" s="2" t="inlineStr">
        <is>
          <t>Non</t>
        </is>
      </c>
      <c r="F39" s="2" t="inlineStr">
        <is>
          <t>Oui</t>
        </is>
      </c>
      <c r="G39" s="2" t="inlineStr">
        <is>
          <t>Vérification des références pour les postes administratifs.</t>
        </is>
      </c>
      <c r="H39" s="2" t="n">
        <v>2</v>
      </c>
      <c r="I39" s="2" t="n">
        <v>2</v>
      </c>
      <c r="J39" s="2" t="n">
        <v>0</v>
      </c>
      <c r="K39" s="2" t="inlineStr">
        <is>
          <t>Maintenir ; proportionner aux postes ayant accès aux données clients/finance.</t>
        </is>
      </c>
      <c r="L39" s="2" t="inlineStr">
        <is>
          <t>P3</t>
        </is>
      </c>
      <c r="M39" s="2" t="inlineStr">
        <is>
          <t>R11</t>
        </is>
      </c>
    </row>
    <row r="40">
      <c r="A40" s="2" t="inlineStr">
        <is>
          <t>6.2</t>
        </is>
      </c>
      <c r="B40" s="2" t="inlineStr">
        <is>
          <t>Humain</t>
        </is>
      </c>
      <c r="C40" s="2" t="inlineStr">
        <is>
          <t>Terms and conditions of employment</t>
        </is>
      </c>
      <c r="D40" s="2" t="inlineStr">
        <is>
          <t>Termes et conditions du contrat de travail</t>
        </is>
      </c>
      <c r="E40" s="2" t="inlineStr">
        <is>
          <t>Non</t>
        </is>
      </c>
      <c r="F40" s="2" t="inlineStr">
        <is>
          <t>Oui</t>
        </is>
      </c>
      <c r="G40" s="2" t="inlineStr">
        <is>
          <t>Contrats de travail sans clause relative à la sécurité ou à la confidentialité.</t>
        </is>
      </c>
      <c r="H40" s="2" t="n">
        <v>1</v>
      </c>
      <c r="I40" s="2" t="n">
        <v>3</v>
      </c>
      <c r="J40" s="2" t="n">
        <v>2</v>
      </c>
      <c r="K40" s="2" t="inlineStr">
        <is>
          <t>Ajouter clause de confidentialité et renvoi à la charte informatique.</t>
        </is>
      </c>
      <c r="L40" s="2" t="inlineStr">
        <is>
          <t>P2</t>
        </is>
      </c>
      <c r="M40" s="2" t="inlineStr">
        <is>
          <t>R11</t>
        </is>
      </c>
    </row>
    <row r="41">
      <c r="A41" s="2" t="inlineStr">
        <is>
          <t>6.3</t>
        </is>
      </c>
      <c r="B41" s="2" t="inlineStr">
        <is>
          <t>Humain</t>
        </is>
      </c>
      <c r="C41" s="2" t="inlineStr">
        <is>
          <t>Information security awareness, education and training</t>
        </is>
      </c>
      <c r="D41" s="2" t="inlineStr">
        <is>
          <t>Sensibilisation, éducation et formation</t>
        </is>
      </c>
      <c r="E41" s="2" t="inlineStr">
        <is>
          <t>Non</t>
        </is>
      </c>
      <c r="F41" s="2" t="inlineStr">
        <is>
          <t>Oui</t>
        </is>
      </c>
      <c r="G41" s="2" t="inlineStr">
        <is>
          <t>Aucune sensibilisation ; un employé a déjà saisi son mot de passe sur une fausse page.</t>
        </is>
      </c>
      <c r="H41" s="2" t="n">
        <v>0</v>
      </c>
      <c r="I41" s="2" t="n">
        <v>3</v>
      </c>
      <c r="J41" s="2" t="n">
        <v>3</v>
      </c>
      <c r="K41" s="2" t="inlineStr">
        <is>
          <t>Session annuelle de 2 h + rappels trimestriels + exercice de phishing simulé.</t>
        </is>
      </c>
      <c r="L41" s="2" t="inlineStr">
        <is>
          <t>P1</t>
        </is>
      </c>
      <c r="M41" s="2" t="inlineStr">
        <is>
          <t>R01, R02, R07</t>
        </is>
      </c>
    </row>
    <row r="42">
      <c r="A42" s="2" t="inlineStr">
        <is>
          <t>6.4</t>
        </is>
      </c>
      <c r="B42" s="2" t="inlineStr">
        <is>
          <t>Humain</t>
        </is>
      </c>
      <c r="C42" s="2" t="inlineStr">
        <is>
          <t>Disciplinary process</t>
        </is>
      </c>
      <c r="D42" s="2" t="inlineStr">
        <is>
          <t>Processus disciplinaire</t>
        </is>
      </c>
      <c r="E42" s="2" t="inlineStr">
        <is>
          <t>Non</t>
        </is>
      </c>
      <c r="F42" s="2" t="inlineStr">
        <is>
          <t>Oui</t>
        </is>
      </c>
      <c r="G42" s="2" t="inlineStr">
        <is>
          <t>Règlement intérieur général, rien sur la sécurité.</t>
        </is>
      </c>
      <c r="H42" s="2" t="n">
        <v>1</v>
      </c>
      <c r="I42" s="2" t="n">
        <v>2</v>
      </c>
      <c r="J42" s="2" t="n">
        <v>1</v>
      </c>
      <c r="K42" s="2" t="inlineStr">
        <is>
          <t>Référencer la charte informatique dans le règlement intérieur.</t>
        </is>
      </c>
      <c r="L42" s="2" t="inlineStr">
        <is>
          <t>P3</t>
        </is>
      </c>
      <c r="M42" s="2" t="inlineStr"/>
    </row>
    <row r="43">
      <c r="A43" s="2" t="inlineStr">
        <is>
          <t>6.5</t>
        </is>
      </c>
      <c r="B43" s="2" t="inlineStr">
        <is>
          <t>Humain</t>
        </is>
      </c>
      <c r="C43" s="2" t="inlineStr">
        <is>
          <t>Responsibilities after termination or change of employment</t>
        </is>
      </c>
      <c r="D43" s="2" t="inlineStr">
        <is>
          <t>Responsabilités après la fin du contrat</t>
        </is>
      </c>
      <c r="E43" s="2" t="inlineStr">
        <is>
          <t>Non</t>
        </is>
      </c>
      <c r="F43" s="2" t="inlineStr">
        <is>
          <t>Oui</t>
        </is>
      </c>
      <c r="G43" s="2" t="inlineStr">
        <is>
          <t>Aucune obligation rappelée au départ.</t>
        </is>
      </c>
      <c r="H43" s="2" t="n">
        <v>0</v>
      </c>
      <c r="I43" s="2" t="n">
        <v>2</v>
      </c>
      <c r="J43" s="2" t="n">
        <v>2</v>
      </c>
      <c r="K43" s="2" t="inlineStr">
        <is>
          <t>Rappel écrit de l'obligation de confidentialité au départ.</t>
        </is>
      </c>
      <c r="L43" s="2" t="inlineStr">
        <is>
          <t>P2</t>
        </is>
      </c>
      <c r="M43" s="2" t="inlineStr">
        <is>
          <t>R11</t>
        </is>
      </c>
    </row>
    <row r="44">
      <c r="A44" s="2" t="inlineStr">
        <is>
          <t>6.6</t>
        </is>
      </c>
      <c r="B44" s="2" t="inlineStr">
        <is>
          <t>Humain</t>
        </is>
      </c>
      <c r="C44" s="2" t="inlineStr">
        <is>
          <t>Confidentiality or non-disclosure agreements</t>
        </is>
      </c>
      <c r="D44" s="2" t="inlineStr">
        <is>
          <t>Engagements de confidentialité</t>
        </is>
      </c>
      <c r="E44" s="2" t="inlineStr">
        <is>
          <t>Non</t>
        </is>
      </c>
      <c r="F44" s="2" t="inlineStr">
        <is>
          <t>Oui</t>
        </is>
      </c>
      <c r="G44" s="2" t="inlineStr">
        <is>
          <t>Pas d'accord de confidentialité avec le freelance web ni le cabinet comptable.</t>
        </is>
      </c>
      <c r="H44" s="2" t="n">
        <v>0</v>
      </c>
      <c r="I44" s="2" t="n">
        <v>3</v>
      </c>
      <c r="J44" s="2" t="n">
        <v>3</v>
      </c>
      <c r="K44" s="2" t="inlineStr">
        <is>
          <t>NDA signé par tous les prestataires ayant accès aux données.</t>
        </is>
      </c>
      <c r="L44" s="2" t="inlineStr">
        <is>
          <t>P2</t>
        </is>
      </c>
      <c r="M44" s="2" t="inlineStr">
        <is>
          <t>R03, R11</t>
        </is>
      </c>
    </row>
    <row r="45">
      <c r="A45" s="2" t="inlineStr">
        <is>
          <t>6.7</t>
        </is>
      </c>
      <c r="B45" s="2" t="inlineStr">
        <is>
          <t>Humain</t>
        </is>
      </c>
      <c r="C45" s="2" t="inlineStr">
        <is>
          <t>Remote working</t>
        </is>
      </c>
      <c r="D45" s="2" t="inlineStr">
        <is>
          <t>Travail à distance</t>
        </is>
      </c>
      <c r="E45" s="2" t="inlineStr">
        <is>
          <t>Non</t>
        </is>
      </c>
      <c r="F45" s="2" t="inlineStr">
        <is>
          <t>Oui</t>
        </is>
      </c>
      <c r="G45" s="2" t="inlineStr">
        <is>
          <t>Le gérant et le commercial travaillent depuis un PC portable et un smartphone personnels.</t>
        </is>
      </c>
      <c r="H45" s="2" t="n">
        <v>1</v>
      </c>
      <c r="I45" s="2" t="n">
        <v>2</v>
      </c>
      <c r="J45" s="2" t="n">
        <v>1</v>
      </c>
      <c r="K45" s="2" t="inlineStr">
        <is>
          <t>Règles télétravail : poste à jour, chiffré, Wi-Fi de confiance, pas de poste partagé.</t>
        </is>
      </c>
      <c r="L45" s="2" t="inlineStr">
        <is>
          <t>P3</t>
        </is>
      </c>
      <c r="M45" s="2" t="inlineStr">
        <is>
          <t>R12</t>
        </is>
      </c>
    </row>
    <row r="46">
      <c r="A46" s="2" t="inlineStr">
        <is>
          <t>6.8</t>
        </is>
      </c>
      <c r="B46" s="2" t="inlineStr">
        <is>
          <t>Humain</t>
        </is>
      </c>
      <c r="C46" s="2" t="inlineStr">
        <is>
          <t>Information security event reporting</t>
        </is>
      </c>
      <c r="D46" s="2" t="inlineStr">
        <is>
          <t>Déclaration des événements de sécurité</t>
        </is>
      </c>
      <c r="E46" s="2" t="inlineStr">
        <is>
          <t>Non</t>
        </is>
      </c>
      <c r="F46" s="2" t="inlineStr">
        <is>
          <t>Oui</t>
        </is>
      </c>
      <c r="G46" s="2" t="inlineStr">
        <is>
          <t>Les salariés ne savent pas à qui signaler un email suspect.</t>
        </is>
      </c>
      <c r="H46" s="2" t="n">
        <v>0</v>
      </c>
      <c r="I46" s="2" t="n">
        <v>3</v>
      </c>
      <c r="J46" s="2" t="n">
        <v>3</v>
      </c>
      <c r="K46" s="2" t="inlineStr">
        <is>
          <t>Canal de signalement unique (référent + adresse dédiée) connu de tous.</t>
        </is>
      </c>
      <c r="L46" s="2" t="inlineStr">
        <is>
          <t>P2</t>
        </is>
      </c>
      <c r="M46" s="2" t="inlineStr">
        <is>
          <t>R01, R02</t>
        </is>
      </c>
    </row>
    <row r="47">
      <c r="A47" s="2" t="inlineStr">
        <is>
          <t>7.1</t>
        </is>
      </c>
      <c r="B47" s="2" t="inlineStr">
        <is>
          <t>Physique</t>
        </is>
      </c>
      <c r="C47" s="2" t="inlineStr">
        <is>
          <t>Physical security perimeters</t>
        </is>
      </c>
      <c r="D47" s="2" t="inlineStr">
        <is>
          <t>Périmètres de sécurité physique</t>
        </is>
      </c>
      <c r="E47" s="2" t="inlineStr">
        <is>
          <t>Non</t>
        </is>
      </c>
      <c r="F47" s="2" t="inlineStr">
        <is>
          <t>Oui</t>
        </is>
      </c>
      <c r="G47" s="2" t="inlineStr">
        <is>
          <t>Bureaux au-dessus de l'entrepôt, porte principale fermée à clé hors horaires.</t>
        </is>
      </c>
      <c r="H47" s="2" t="n">
        <v>2</v>
      </c>
      <c r="I47" s="2" t="n">
        <v>2</v>
      </c>
      <c r="J47" s="2" t="n">
        <v>0</v>
      </c>
      <c r="K47" s="2" t="inlineStr">
        <is>
          <t>Maintenir ; définir le périmètre bureau vs. entrepôt.</t>
        </is>
      </c>
      <c r="L47" s="2" t="inlineStr">
        <is>
          <t>P3</t>
        </is>
      </c>
      <c r="M47" s="2" t="inlineStr">
        <is>
          <t>R12</t>
        </is>
      </c>
    </row>
    <row r="48">
      <c r="A48" s="2" t="inlineStr">
        <is>
          <t>7.2</t>
        </is>
      </c>
      <c r="B48" s="2" t="inlineStr">
        <is>
          <t>Physique</t>
        </is>
      </c>
      <c r="C48" s="2" t="inlineStr">
        <is>
          <t>Physical entry</t>
        </is>
      </c>
      <c r="D48" s="2" t="inlineStr">
        <is>
          <t>Contrôles physiques des accès</t>
        </is>
      </c>
      <c r="E48" s="2" t="inlineStr">
        <is>
          <t>Non</t>
        </is>
      </c>
      <c r="F48" s="2" t="inlineStr">
        <is>
          <t>Oui</t>
        </is>
      </c>
      <c r="G48" s="2" t="inlineStr">
        <is>
          <t>Accueil visible ; visiteurs (livreurs, clients) peuvent accéder aux bureaux.</t>
        </is>
      </c>
      <c r="H48" s="2" t="n">
        <v>2</v>
      </c>
      <c r="I48" s="2" t="n">
        <v>2</v>
      </c>
      <c r="J48" s="2" t="n">
        <v>0</v>
      </c>
      <c r="K48" s="2" t="inlineStr">
        <is>
          <t>Visiteurs accompagnés ; clés tracées.</t>
        </is>
      </c>
      <c r="L48" s="2" t="inlineStr">
        <is>
          <t>P3</t>
        </is>
      </c>
      <c r="M48" s="2" t="inlineStr">
        <is>
          <t>R12</t>
        </is>
      </c>
    </row>
    <row r="49">
      <c r="A49" s="2" t="inlineStr">
        <is>
          <t>7.3</t>
        </is>
      </c>
      <c r="B49" s="2" t="inlineStr">
        <is>
          <t>Physique</t>
        </is>
      </c>
      <c r="C49" s="2" t="inlineStr">
        <is>
          <t>Securing offices, rooms and facilities</t>
        </is>
      </c>
      <c r="D49" s="2" t="inlineStr">
        <is>
          <t>Sécurisation des bureaux et locaux</t>
        </is>
      </c>
      <c r="E49" s="2" t="inlineStr">
        <is>
          <t>Non</t>
        </is>
      </c>
      <c r="F49" s="2" t="inlineStr">
        <is>
          <t>Oui</t>
        </is>
      </c>
      <c r="G49" s="2" t="inlineStr">
        <is>
          <t>Bureau comptable non fermé à clé ; routeur sur une étagère du couloir.</t>
        </is>
      </c>
      <c r="H49" s="2" t="n">
        <v>1</v>
      </c>
      <c r="I49" s="2" t="n">
        <v>2</v>
      </c>
      <c r="J49" s="2" t="n">
        <v>1</v>
      </c>
      <c r="K49" s="2" t="inlineStr">
        <is>
          <t>Fermer le bureau comptable ; placer le routeur dans un local fermé.</t>
        </is>
      </c>
      <c r="L49" s="2" t="inlineStr">
        <is>
          <t>P3</t>
        </is>
      </c>
      <c r="M49" s="2" t="inlineStr">
        <is>
          <t>R12</t>
        </is>
      </c>
    </row>
    <row r="50">
      <c r="A50" s="2" t="inlineStr">
        <is>
          <t>7.4</t>
        </is>
      </c>
      <c r="B50" s="2" t="inlineStr">
        <is>
          <t>Physique</t>
        </is>
      </c>
      <c r="C50" s="2" t="inlineStr">
        <is>
          <t>Physical security monitoring</t>
        </is>
      </c>
      <c r="D50" s="2" t="inlineStr">
        <is>
          <t>Surveillance de la sécurité physique</t>
        </is>
      </c>
      <c r="E50" s="2" t="inlineStr">
        <is>
          <t>Oui</t>
        </is>
      </c>
      <c r="F50" s="2" t="inlineStr">
        <is>
          <t>Oui</t>
        </is>
      </c>
      <c r="G50" s="2" t="inlineStr">
        <is>
          <t>Alarme anti-intrusion sur l'entrepôt ; pas de vidéosurveillance des bureaux.</t>
        </is>
      </c>
      <c r="H50" s="2" t="n">
        <v>1</v>
      </c>
      <c r="I50" s="2" t="n">
        <v>1</v>
      </c>
      <c r="J50" s="2" t="n">
        <v>0</v>
      </c>
      <c r="K50" s="2" t="inlineStr">
        <is>
          <t>Suffisant au regard des enjeux ; si caméra ajoutée, déclaration CNDP requise.</t>
        </is>
      </c>
      <c r="L50" s="2" t="inlineStr">
        <is>
          <t>P3</t>
        </is>
      </c>
      <c r="M50" s="2" t="inlineStr">
        <is>
          <t>R12</t>
        </is>
      </c>
    </row>
    <row r="51">
      <c r="A51" s="2" t="inlineStr">
        <is>
          <t>7.5</t>
        </is>
      </c>
      <c r="B51" s="2" t="inlineStr">
        <is>
          <t>Physique</t>
        </is>
      </c>
      <c r="C51" s="2" t="inlineStr">
        <is>
          <t>Protecting against physical and environmental threats</t>
        </is>
      </c>
      <c r="D51" s="2" t="inlineStr">
        <is>
          <t>Protection contre les menaces physiques et environnementales</t>
        </is>
      </c>
      <c r="E51" s="2" t="inlineStr">
        <is>
          <t>Non</t>
        </is>
      </c>
      <c r="F51" s="2" t="inlineStr">
        <is>
          <t>Oui</t>
        </is>
      </c>
      <c r="G51" s="2" t="inlineStr">
        <is>
          <t>Extincteurs présents ; coupures électriques fréquentes en été non traitées.</t>
        </is>
      </c>
      <c r="H51" s="2" t="n">
        <v>1</v>
      </c>
      <c r="I51" s="2" t="n">
        <v>2</v>
      </c>
      <c r="J51" s="2" t="n">
        <v>1</v>
      </c>
      <c r="K51" s="2" t="inlineStr">
        <is>
          <t>Onduleur pour le poste comptable et le routeur.</t>
        </is>
      </c>
      <c r="L51" s="2" t="inlineStr">
        <is>
          <t>P3</t>
        </is>
      </c>
      <c r="M51" s="2" t="inlineStr">
        <is>
          <t>R02, R06</t>
        </is>
      </c>
    </row>
    <row r="52">
      <c r="A52" s="2" t="inlineStr">
        <is>
          <t>7.6</t>
        </is>
      </c>
      <c r="B52" s="2" t="inlineStr">
        <is>
          <t>Physique</t>
        </is>
      </c>
      <c r="C52" s="2" t="inlineStr">
        <is>
          <t>Working in secure areas</t>
        </is>
      </c>
      <c r="D52" s="2" t="inlineStr">
        <is>
          <t>Travail dans les zones sécurisées</t>
        </is>
      </c>
      <c r="E52" s="2" t="inlineStr">
        <is>
          <t>Non</t>
        </is>
      </c>
      <c r="F52" s="2" t="inlineStr">
        <is>
          <t>Non</t>
        </is>
      </c>
      <c r="G52" s="2" t="inlineStr">
        <is>
          <t>Aucune zone sécurisée (pas de salle serveur ; hébergement externalisé).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Non applicable.</t>
        </is>
      </c>
      <c r="L52" s="2" t="inlineStr">
        <is>
          <t>-</t>
        </is>
      </c>
      <c r="M52" s="2" t="inlineStr"/>
    </row>
    <row r="53">
      <c r="A53" s="2" t="inlineStr">
        <is>
          <t>7.7</t>
        </is>
      </c>
      <c r="B53" s="2" t="inlineStr">
        <is>
          <t>Physique</t>
        </is>
      </c>
      <c r="C53" s="2" t="inlineStr">
        <is>
          <t>Clear desk and clear screen</t>
        </is>
      </c>
      <c r="D53" s="2" t="inlineStr">
        <is>
          <t>Bureau propre et écran vide</t>
        </is>
      </c>
      <c r="E53" s="2" t="inlineStr">
        <is>
          <t>Non</t>
        </is>
      </c>
      <c r="F53" s="2" t="inlineStr">
        <is>
          <t>Oui</t>
        </is>
      </c>
      <c r="G53" s="2" t="inlineStr">
        <is>
          <t>Bons de commande avec adresses clients laissés sur les bureaux ; pas de verrouillage auto des sessions.</t>
        </is>
      </c>
      <c r="H53" s="2" t="n">
        <v>0</v>
      </c>
      <c r="I53" s="2" t="n">
        <v>2</v>
      </c>
      <c r="J53" s="2" t="n">
        <v>2</v>
      </c>
      <c r="K53" s="2" t="inlineStr">
        <is>
          <t>Verrouillage automatique après 5 min ; rangement des documents clients.</t>
        </is>
      </c>
      <c r="L53" s="2" t="inlineStr">
        <is>
          <t>P3</t>
        </is>
      </c>
      <c r="M53" s="2" t="inlineStr">
        <is>
          <t>R03, R12</t>
        </is>
      </c>
    </row>
    <row r="54">
      <c r="A54" s="2" t="inlineStr">
        <is>
          <t>7.8</t>
        </is>
      </c>
      <c r="B54" s="2" t="inlineStr">
        <is>
          <t>Physique</t>
        </is>
      </c>
      <c r="C54" s="2" t="inlineStr">
        <is>
          <t>Equipment siting and protection</t>
        </is>
      </c>
      <c r="D54" s="2" t="inlineStr">
        <is>
          <t>Emplacement et protection du matériel</t>
        </is>
      </c>
      <c r="E54" s="2" t="inlineStr">
        <is>
          <t>Non</t>
        </is>
      </c>
      <c r="F54" s="2" t="inlineStr">
        <is>
          <t>Oui</t>
        </is>
      </c>
      <c r="G54" s="2" t="inlineStr">
        <is>
          <t>PC de l'accueil exposé à la poussière de l'entrepôt.</t>
        </is>
      </c>
      <c r="H54" s="2" t="n">
        <v>1</v>
      </c>
      <c r="I54" s="2" t="n">
        <v>2</v>
      </c>
      <c r="J54" s="2" t="n">
        <v>1</v>
      </c>
      <c r="K54" s="2" t="inlineStr">
        <is>
          <t>Repositionner les postes sensibles.</t>
        </is>
      </c>
      <c r="L54" s="2" t="inlineStr">
        <is>
          <t>P3</t>
        </is>
      </c>
      <c r="M54" s="2" t="inlineStr">
        <is>
          <t>R06</t>
        </is>
      </c>
    </row>
    <row r="55">
      <c r="A55" s="2" t="inlineStr">
        <is>
          <t>7.9</t>
        </is>
      </c>
      <c r="B55" s="2" t="inlineStr">
        <is>
          <t>Physique</t>
        </is>
      </c>
      <c r="C55" s="2" t="inlineStr">
        <is>
          <t>Security of assets off-premises</t>
        </is>
      </c>
      <c r="D55" s="2" t="inlineStr">
        <is>
          <t>Sécurité des actifs hors des locaux</t>
        </is>
      </c>
      <c r="E55" s="2" t="inlineStr">
        <is>
          <t>Non</t>
        </is>
      </c>
      <c r="F55" s="2" t="inlineStr">
        <is>
          <t>Oui</t>
        </is>
      </c>
      <c r="G55" s="2" t="inlineStr">
        <is>
          <t>PC portables emmenés chez les clients agricoles sans chiffrement.</t>
        </is>
      </c>
      <c r="H55" s="2" t="n">
        <v>1</v>
      </c>
      <c r="I55" s="2" t="n">
        <v>2</v>
      </c>
      <c r="J55" s="2" t="n">
        <v>1</v>
      </c>
      <c r="K55" s="2" t="inlineStr">
        <is>
          <t>Chiffrement des portables (BitLocker) et smartphones (code + chiffrement natif).</t>
        </is>
      </c>
      <c r="L55" s="2" t="inlineStr">
        <is>
          <t>P2</t>
        </is>
      </c>
      <c r="M55" s="2" t="inlineStr">
        <is>
          <t>R12</t>
        </is>
      </c>
    </row>
    <row r="56">
      <c r="A56" s="2" t="inlineStr">
        <is>
          <t>7.10</t>
        </is>
      </c>
      <c r="B56" s="2" t="inlineStr">
        <is>
          <t>Physique</t>
        </is>
      </c>
      <c r="C56" s="2" t="inlineStr">
        <is>
          <t>Storage media</t>
        </is>
      </c>
      <c r="D56" s="2" t="inlineStr">
        <is>
          <t>Supports de stockage</t>
        </is>
      </c>
      <c r="E56" s="2" t="inlineStr">
        <is>
          <t>Non</t>
        </is>
      </c>
      <c r="F56" s="2" t="inlineStr">
        <is>
          <t>Oui</t>
        </is>
      </c>
      <c r="G56" s="2" t="inlineStr">
        <is>
          <t>Clés USB personnelles utilisées pour échanger avec le cabinet comptable.</t>
        </is>
      </c>
      <c r="H56" s="2" t="n">
        <v>0</v>
      </c>
      <c r="I56" s="2" t="n">
        <v>2</v>
      </c>
      <c r="J56" s="2" t="n">
        <v>2</v>
      </c>
      <c r="K56" s="2" t="inlineStr">
        <is>
          <t>Clé chiffrée dédiée ou partage cloud contrôlé ; désactiver l'autorun.</t>
        </is>
      </c>
      <c r="L56" s="2" t="inlineStr">
        <is>
          <t>P3</t>
        </is>
      </c>
      <c r="M56" s="2" t="inlineStr">
        <is>
          <t>R02, R12</t>
        </is>
      </c>
    </row>
    <row r="57">
      <c r="A57" s="2" t="inlineStr">
        <is>
          <t>7.11</t>
        </is>
      </c>
      <c r="B57" s="2" t="inlineStr">
        <is>
          <t>Physique</t>
        </is>
      </c>
      <c r="C57" s="2" t="inlineStr">
        <is>
          <t>Supporting utilities</t>
        </is>
      </c>
      <c r="D57" s="2" t="inlineStr">
        <is>
          <t>Services supports</t>
        </is>
      </c>
      <c r="E57" s="2" t="inlineStr">
        <is>
          <t>Non</t>
        </is>
      </c>
      <c r="F57" s="2" t="inlineStr">
        <is>
          <t>Oui</t>
        </is>
      </c>
      <c r="G57" s="2" t="inlineStr">
        <is>
          <t>Pas d'onduleur ; une seule connexion Internet (ADSL/fibre).</t>
        </is>
      </c>
      <c r="H57" s="2" t="n">
        <v>1</v>
      </c>
      <c r="I57" s="2" t="n">
        <v>2</v>
      </c>
      <c r="J57" s="2" t="n">
        <v>1</v>
      </c>
      <c r="K57" s="2" t="inlineStr">
        <is>
          <t>Onduleur + partage de connexion 4G de secours.</t>
        </is>
      </c>
      <c r="L57" s="2" t="inlineStr">
        <is>
          <t>P3</t>
        </is>
      </c>
      <c r="M57" s="2" t="inlineStr">
        <is>
          <t>R06</t>
        </is>
      </c>
    </row>
    <row r="58">
      <c r="A58" s="2" t="inlineStr">
        <is>
          <t>7.12</t>
        </is>
      </c>
      <c r="B58" s="2" t="inlineStr">
        <is>
          <t>Physique</t>
        </is>
      </c>
      <c r="C58" s="2" t="inlineStr">
        <is>
          <t>Cabling security</t>
        </is>
      </c>
      <c r="D58" s="2" t="inlineStr">
        <is>
          <t>Sécurité du câblage</t>
        </is>
      </c>
      <c r="E58" s="2" t="inlineStr">
        <is>
          <t>Non</t>
        </is>
      </c>
      <c r="F58" s="2" t="inlineStr">
        <is>
          <t>Oui</t>
        </is>
      </c>
      <c r="G58" s="2" t="inlineStr">
        <is>
          <t>Câblage apparent dans le couloir.</t>
        </is>
      </c>
      <c r="H58" s="2" t="n">
        <v>1</v>
      </c>
      <c r="I58" s="2" t="n">
        <v>2</v>
      </c>
      <c r="J58" s="2" t="n">
        <v>1</v>
      </c>
      <c r="K58" s="2" t="inlineStr">
        <is>
          <t>Goulottes ; faible enjeu.</t>
        </is>
      </c>
      <c r="L58" s="2" t="inlineStr">
        <is>
          <t>P3</t>
        </is>
      </c>
      <c r="M58" s="2" t="inlineStr"/>
    </row>
    <row r="59">
      <c r="A59" s="2" t="inlineStr">
        <is>
          <t>7.13</t>
        </is>
      </c>
      <c r="B59" s="2" t="inlineStr">
        <is>
          <t>Physique</t>
        </is>
      </c>
      <c r="C59" s="2" t="inlineStr">
        <is>
          <t>Equipment maintenance</t>
        </is>
      </c>
      <c r="D59" s="2" t="inlineStr">
        <is>
          <t>Maintenance du matériel</t>
        </is>
      </c>
      <c r="E59" s="2" t="inlineStr">
        <is>
          <t>Non</t>
        </is>
      </c>
      <c r="F59" s="2" t="inlineStr">
        <is>
          <t>Oui</t>
        </is>
      </c>
      <c r="G59" s="2" t="inlineStr">
        <is>
          <t>Maintenance curative uniquement, par un réparateur local.</t>
        </is>
      </c>
      <c r="H59" s="2" t="n">
        <v>1</v>
      </c>
      <c r="I59" s="2" t="n">
        <v>2</v>
      </c>
      <c r="J59" s="2" t="n">
        <v>1</v>
      </c>
      <c r="K59" s="2" t="inlineStr">
        <is>
          <t>Faire signer une clause de confidentialité au réparateur ; retirer les disques si possible.</t>
        </is>
      </c>
      <c r="L59" s="2" t="inlineStr">
        <is>
          <t>P3</t>
        </is>
      </c>
      <c r="M59" s="2" t="inlineStr">
        <is>
          <t>R06</t>
        </is>
      </c>
    </row>
    <row r="60">
      <c r="A60" s="2" t="inlineStr">
        <is>
          <t>7.14</t>
        </is>
      </c>
      <c r="B60" s="2" t="inlineStr">
        <is>
          <t>Physique</t>
        </is>
      </c>
      <c r="C60" s="2" t="inlineStr">
        <is>
          <t>Secure disposal or re-use of equipment</t>
        </is>
      </c>
      <c r="D60" s="2" t="inlineStr">
        <is>
          <t>Élimination ou recyclage sécurisé du matériel</t>
        </is>
      </c>
      <c r="E60" s="2" t="inlineStr">
        <is>
          <t>Non</t>
        </is>
      </c>
      <c r="F60" s="2" t="inlineStr">
        <is>
          <t>Oui</t>
        </is>
      </c>
      <c r="G60" s="2" t="inlineStr">
        <is>
          <t>Anciens PC donnés/vendus sans effacement des disques.</t>
        </is>
      </c>
      <c r="H60" s="2" t="n">
        <v>0</v>
      </c>
      <c r="I60" s="2" t="n">
        <v>2</v>
      </c>
      <c r="J60" s="2" t="n">
        <v>2</v>
      </c>
      <c r="K60" s="2" t="inlineStr">
        <is>
          <t>Effacement sécurisé (outil d'effacement ou destruction) avant cession.</t>
        </is>
      </c>
      <c r="L60" s="2" t="inlineStr">
        <is>
          <t>P3</t>
        </is>
      </c>
      <c r="M60" s="2" t="inlineStr">
        <is>
          <t>R03</t>
        </is>
      </c>
    </row>
    <row r="61">
      <c r="A61" s="2" t="inlineStr">
        <is>
          <t>8.1</t>
        </is>
      </c>
      <c r="B61" s="2" t="inlineStr">
        <is>
          <t>Technologique</t>
        </is>
      </c>
      <c r="C61" s="2" t="inlineStr">
        <is>
          <t>User endpoint devices</t>
        </is>
      </c>
      <c r="D61" s="2" t="inlineStr">
        <is>
          <t>Terminaux utilisateurs</t>
        </is>
      </c>
      <c r="E61" s="2" t="inlineStr">
        <is>
          <t>Non</t>
        </is>
      </c>
      <c r="F61" s="2" t="inlineStr">
        <is>
          <t>Oui</t>
        </is>
      </c>
      <c r="G61" s="2" t="inlineStr">
        <is>
          <t>7 postes Windows (dont 2 portables) hétérogènes ; un poste sous Windows 10 (fin de support oct. 2025).</t>
        </is>
      </c>
      <c r="H61" s="2" t="n">
        <v>1</v>
      </c>
      <c r="I61" s="2" t="n">
        <v>3</v>
      </c>
      <c r="J61" s="2" t="n">
        <v>2</v>
      </c>
      <c r="K61" s="2" t="inlineStr">
        <is>
          <t>Standard de configuration des postes ; remplacer/mettre à niveau le poste Windows 10.</t>
        </is>
      </c>
      <c r="L61" s="2" t="inlineStr">
        <is>
          <t>P1</t>
        </is>
      </c>
      <c r="M61" s="2" t="inlineStr">
        <is>
          <t>R02, R12</t>
        </is>
      </c>
    </row>
    <row r="62">
      <c r="A62" s="2" t="inlineStr">
        <is>
          <t>8.2</t>
        </is>
      </c>
      <c r="B62" s="2" t="inlineStr">
        <is>
          <t>Technologique</t>
        </is>
      </c>
      <c r="C62" s="2" t="inlineStr">
        <is>
          <t>Privileged access rights</t>
        </is>
      </c>
      <c r="D62" s="2" t="inlineStr">
        <is>
          <t>Droits d'accès privilégiés</t>
        </is>
      </c>
      <c r="E62" s="2" t="inlineStr">
        <is>
          <t>Non</t>
        </is>
      </c>
      <c r="F62" s="2" t="inlineStr">
        <is>
          <t>Oui</t>
        </is>
      </c>
      <c r="G62" s="2" t="inlineStr">
        <is>
          <t>Tous les utilisateurs sont administrateurs locaux de leur poste.</t>
        </is>
      </c>
      <c r="H62" s="2" t="n">
        <v>0</v>
      </c>
      <c r="I62" s="2" t="n">
        <v>3</v>
      </c>
      <c r="J62" s="2" t="n">
        <v>3</v>
      </c>
      <c r="K62" s="2" t="inlineStr">
        <is>
          <t>Comptes utilisateurs standards ; un compte admin séparé par poste.</t>
        </is>
      </c>
      <c r="L62" s="2" t="inlineStr">
        <is>
          <t>P1</t>
        </is>
      </c>
      <c r="M62" s="2" t="inlineStr">
        <is>
          <t>R02, R05</t>
        </is>
      </c>
    </row>
    <row r="63">
      <c r="A63" s="2" t="inlineStr">
        <is>
          <t>8.3</t>
        </is>
      </c>
      <c r="B63" s="2" t="inlineStr">
        <is>
          <t>Technologique</t>
        </is>
      </c>
      <c r="C63" s="2" t="inlineStr">
        <is>
          <t>Information access restriction</t>
        </is>
      </c>
      <c r="D63" s="2" t="inlineStr">
        <is>
          <t>Restriction d'accès à l'information</t>
        </is>
      </c>
      <c r="E63" s="2" t="inlineStr">
        <is>
          <t>Non</t>
        </is>
      </c>
      <c r="F63" s="2" t="inlineStr">
        <is>
          <t>Oui</t>
        </is>
      </c>
      <c r="G63" s="2" t="inlineStr">
        <is>
          <t>Dossier Drive 'Clients' partagé avec tous ; export complet des commandes accessible à tous les comptes du back-office.</t>
        </is>
      </c>
      <c r="H63" s="2" t="n">
        <v>1</v>
      </c>
      <c r="I63" s="2" t="n">
        <v>3</v>
      </c>
      <c r="J63" s="2" t="n">
        <v>2</v>
      </c>
      <c r="K63" s="2" t="inlineStr">
        <is>
          <t>Droits par rôle dans le back-office ; partages Drive nominatifs.</t>
        </is>
      </c>
      <c r="L63" s="2" t="inlineStr">
        <is>
          <t>P2</t>
        </is>
      </c>
      <c r="M63" s="2" t="inlineStr">
        <is>
          <t>R03</t>
        </is>
      </c>
    </row>
    <row r="64">
      <c r="A64" s="2" t="inlineStr">
        <is>
          <t>8.4</t>
        </is>
      </c>
      <c r="B64" s="2" t="inlineStr">
        <is>
          <t>Technologique</t>
        </is>
      </c>
      <c r="C64" s="2" t="inlineStr">
        <is>
          <t>Access to source code</t>
        </is>
      </c>
      <c r="D64" s="2" t="inlineStr">
        <is>
          <t>Accès au code source</t>
        </is>
      </c>
      <c r="E64" s="2" t="inlineStr">
        <is>
          <t>Non</t>
        </is>
      </c>
      <c r="F64" s="2" t="inlineStr">
        <is>
          <t>Oui</t>
        </is>
      </c>
      <c r="G64" s="2" t="inlineStr">
        <is>
          <t>Code du site dans un dépôt Git du prestataire ; un secret (clé d'API tierce) présent dans l'historique.</t>
        </is>
      </c>
      <c r="H64" s="2" t="n">
        <v>1</v>
      </c>
      <c r="I64" s="2" t="n">
        <v>3</v>
      </c>
      <c r="J64" s="2" t="n">
        <v>2</v>
      </c>
      <c r="K64" s="2" t="inlineStr">
        <is>
          <t>Dépôt privé propriété d'AgriSouss ; secrets hors dépôt ; rotation de la clé.</t>
        </is>
      </c>
      <c r="L64" s="2" t="inlineStr">
        <is>
          <t>P1</t>
        </is>
      </c>
      <c r="M64" s="2" t="inlineStr">
        <is>
          <t>R04, R08</t>
        </is>
      </c>
    </row>
    <row r="65">
      <c r="A65" s="2" t="inlineStr">
        <is>
          <t>8.5</t>
        </is>
      </c>
      <c r="B65" s="2" t="inlineStr">
        <is>
          <t>Technologique</t>
        </is>
      </c>
      <c r="C65" s="2" t="inlineStr">
        <is>
          <t>Secure authentication</t>
        </is>
      </c>
      <c r="D65" s="2" t="inlineStr">
        <is>
          <t>Authentification sécurisée</t>
        </is>
      </c>
      <c r="E65" s="2" t="inlineStr">
        <is>
          <t>Non</t>
        </is>
      </c>
      <c r="F65" s="2" t="inlineStr">
        <is>
          <t>Oui</t>
        </is>
      </c>
      <c r="G65" s="2" t="inlineStr">
        <is>
          <t>MFA activée sur 2 comptes Google sur 9 ; pas de MFA sur l'hébergeur ni le bureau d'enregistrement du domaine.</t>
        </is>
      </c>
      <c r="H65" s="2" t="n">
        <v>1</v>
      </c>
      <c r="I65" s="2" t="n">
        <v>3</v>
      </c>
      <c r="J65" s="2" t="n">
        <v>2</v>
      </c>
      <c r="K65" s="2" t="inlineStr">
        <is>
          <t>MFA obligatoire sur messagerie, hébergeur, domaine, back-office.</t>
        </is>
      </c>
      <c r="L65" s="2" t="inlineStr">
        <is>
          <t>P1</t>
        </is>
      </c>
      <c r="M65" s="2" t="inlineStr">
        <is>
          <t>R01, R05</t>
        </is>
      </c>
    </row>
    <row r="66">
      <c r="A66" s="2" t="inlineStr">
        <is>
          <t>8.6</t>
        </is>
      </c>
      <c r="B66" s="2" t="inlineStr">
        <is>
          <t>Technologique</t>
        </is>
      </c>
      <c r="C66" s="2" t="inlineStr">
        <is>
          <t>Capacity management</t>
        </is>
      </c>
      <c r="D66" s="2" t="inlineStr">
        <is>
          <t>Dimensionnement</t>
        </is>
      </c>
      <c r="E66" s="2" t="inlineStr">
        <is>
          <t>Non</t>
        </is>
      </c>
      <c r="F66" s="2" t="inlineStr">
        <is>
          <t>Oui</t>
        </is>
      </c>
      <c r="G66" s="2" t="inlineStr">
        <is>
          <t>Offre mutualisée ; ralentissements signalés lors des promotions de saison.</t>
        </is>
      </c>
      <c r="H66" s="2" t="n">
        <v>2</v>
      </c>
      <c r="I66" s="2" t="n">
        <v>2</v>
      </c>
      <c r="J66" s="2" t="n">
        <v>0</v>
      </c>
      <c r="K66" s="2" t="inlineStr">
        <is>
          <t>Surveiller les quotas d'hébergement avant la haute saison.</t>
        </is>
      </c>
      <c r="L66" s="2" t="inlineStr">
        <is>
          <t>P3</t>
        </is>
      </c>
      <c r="M66" s="2" t="inlineStr">
        <is>
          <t>R06</t>
        </is>
      </c>
    </row>
    <row r="67">
      <c r="A67" s="2" t="inlineStr">
        <is>
          <t>8.7</t>
        </is>
      </c>
      <c r="B67" s="2" t="inlineStr">
        <is>
          <t>Technologique</t>
        </is>
      </c>
      <c r="C67" s="2" t="inlineStr">
        <is>
          <t>Protection against malware</t>
        </is>
      </c>
      <c r="D67" s="2" t="inlineStr">
        <is>
          <t>Protection contre les programmes malveillants</t>
        </is>
      </c>
      <c r="E67" s="2" t="inlineStr">
        <is>
          <t>Non</t>
        </is>
      </c>
      <c r="F67" s="2" t="inlineStr">
        <is>
          <t>Oui</t>
        </is>
      </c>
      <c r="G67" s="2" t="inlineStr">
        <is>
          <t>Microsoft Defender actif par défaut sur la plupart des postes, non supervisé.</t>
        </is>
      </c>
      <c r="H67" s="2" t="n">
        <v>2</v>
      </c>
      <c r="I67" s="2" t="n">
        <v>3</v>
      </c>
      <c r="J67" s="2" t="n">
        <v>1</v>
      </c>
      <c r="K67" s="2" t="inlineStr">
        <is>
          <t>Vérifier l'activation partout ; macros Office bloquées ; filtrage des pièces jointes.</t>
        </is>
      </c>
      <c r="L67" s="2" t="inlineStr">
        <is>
          <t>P2</t>
        </is>
      </c>
      <c r="M67" s="2" t="inlineStr">
        <is>
          <t>R02</t>
        </is>
      </c>
    </row>
    <row r="68">
      <c r="A68" s="2" t="inlineStr">
        <is>
          <t>8.8</t>
        </is>
      </c>
      <c r="B68" s="2" t="inlineStr">
        <is>
          <t>Technologique</t>
        </is>
      </c>
      <c r="C68" s="2" t="inlineStr">
        <is>
          <t>Management of technical vulnerabilities</t>
        </is>
      </c>
      <c r="D68" s="2" t="inlineStr">
        <is>
          <t>Gestion des vulnérabilités techniques</t>
        </is>
      </c>
      <c r="E68" s="2" t="inlineStr">
        <is>
          <t>Non</t>
        </is>
      </c>
      <c r="F68" s="2" t="inlineStr">
        <is>
          <t>Oui</t>
        </is>
      </c>
      <c r="G68" s="2" t="inlineStr">
        <is>
          <t>Version de PHP en fin de support sur l'hébergement ; mises à jour Windows reportées.</t>
        </is>
      </c>
      <c r="H68" s="2" t="n">
        <v>1</v>
      </c>
      <c r="I68" s="2" t="n">
        <v>3</v>
      </c>
      <c r="J68" s="2" t="n">
        <v>2</v>
      </c>
      <c r="K68" s="2" t="inlineStr">
        <is>
          <t>Mises à jour automatiques ; montée de version PHP ; scan de vulnérabilités trimestriel.</t>
        </is>
      </c>
      <c r="L68" s="2" t="inlineStr">
        <is>
          <t>P1</t>
        </is>
      </c>
      <c r="M68" s="2" t="inlineStr">
        <is>
          <t>R02, R03, R08</t>
        </is>
      </c>
    </row>
    <row r="69">
      <c r="A69" s="2" t="inlineStr">
        <is>
          <t>8.9</t>
        </is>
      </c>
      <c r="B69" s="2" t="inlineStr">
        <is>
          <t>Technologique</t>
        </is>
      </c>
      <c r="C69" s="2" t="inlineStr">
        <is>
          <t>Configuration management</t>
        </is>
      </c>
      <c r="D69" s="2" t="inlineStr">
        <is>
          <t>Gestion des configurations</t>
        </is>
      </c>
      <c r="E69" s="2" t="inlineStr">
        <is>
          <t>Oui</t>
        </is>
      </c>
      <c r="F69" s="2" t="inlineStr">
        <is>
          <t>Oui</t>
        </is>
      </c>
      <c r="G69" s="2" t="inlineStr">
        <is>
          <t>Routeur avec mot de passe administrateur par défaut ; en-têtes de sécurité HTTP absents.</t>
        </is>
      </c>
      <c r="H69" s="2" t="n">
        <v>0</v>
      </c>
      <c r="I69" s="2" t="n">
        <v>2</v>
      </c>
      <c r="J69" s="2" t="n">
        <v>2</v>
      </c>
      <c r="K69" s="2" t="inlineStr">
        <is>
          <t>Configurations de référence (routeur, postes, serveur web).</t>
        </is>
      </c>
      <c r="L69" s="2" t="inlineStr">
        <is>
          <t>P2</t>
        </is>
      </c>
      <c r="M69" s="2" t="inlineStr">
        <is>
          <t>R08, R10</t>
        </is>
      </c>
    </row>
    <row r="70">
      <c r="A70" s="2" t="inlineStr">
        <is>
          <t>8.10</t>
        </is>
      </c>
      <c r="B70" s="2" t="inlineStr">
        <is>
          <t>Technologique</t>
        </is>
      </c>
      <c r="C70" s="2" t="inlineStr">
        <is>
          <t>Information deletion</t>
        </is>
      </c>
      <c r="D70" s="2" t="inlineStr">
        <is>
          <t>Suppression des informations</t>
        </is>
      </c>
      <c r="E70" s="2" t="inlineStr">
        <is>
          <t>Oui</t>
        </is>
      </c>
      <c r="F70" s="2" t="inlineStr">
        <is>
          <t>Oui</t>
        </is>
      </c>
      <c r="G70" s="2" t="inlineStr">
        <is>
          <t>Commandes conservées indéfiniment dans la base.</t>
        </is>
      </c>
      <c r="H70" s="2" t="n">
        <v>0</v>
      </c>
      <c r="I70" s="2" t="n">
        <v>2</v>
      </c>
      <c r="J70" s="2" t="n">
        <v>2</v>
      </c>
      <c r="K70" s="2" t="inlineStr">
        <is>
          <t>Durées de conservation + purge/anonymisation annuelle des anciennes commandes.</t>
        </is>
      </c>
      <c r="L70" s="2" t="inlineStr">
        <is>
          <t>P2</t>
        </is>
      </c>
      <c r="M70" s="2" t="inlineStr">
        <is>
          <t>R03, R09</t>
        </is>
      </c>
    </row>
    <row r="71">
      <c r="A71" s="2" t="inlineStr">
        <is>
          <t>8.11</t>
        </is>
      </c>
      <c r="B71" s="2" t="inlineStr">
        <is>
          <t>Technologique</t>
        </is>
      </c>
      <c r="C71" s="2" t="inlineStr">
        <is>
          <t>Data masking</t>
        </is>
      </c>
      <c r="D71" s="2" t="inlineStr">
        <is>
          <t>Masquage des données</t>
        </is>
      </c>
      <c r="E71" s="2" t="inlineStr">
        <is>
          <t>Oui</t>
        </is>
      </c>
      <c r="F71" s="2" t="inlineStr">
        <is>
          <t>Oui</t>
        </is>
      </c>
      <c r="G71" s="2" t="inlineStr">
        <is>
          <t>Tests occasionnels avec de vraies commandes clients (voir 8.33) ; exports complets du fichier transmis au transporteur sans réduction des champs.</t>
        </is>
      </c>
      <c r="H71" s="2" t="n">
        <v>0</v>
      </c>
      <c r="I71" s="2" t="n">
        <v>2</v>
      </c>
      <c r="J71" s="2" t="n">
        <v>2</v>
      </c>
      <c r="K71" s="2" t="inlineStr">
        <is>
          <t>Pseudonymiser/anonymiser les données utilisées hors production et les anciennes commandes (lien 8.10, 8.33) ; exports transporteur limités au strict nécessaire.</t>
        </is>
      </c>
      <c r="L71" s="2" t="inlineStr">
        <is>
          <t>P3</t>
        </is>
      </c>
      <c r="M71" s="2" t="inlineStr">
        <is>
          <t>R03, R09</t>
        </is>
      </c>
    </row>
    <row r="72">
      <c r="A72" s="2" t="inlineStr">
        <is>
          <t>8.12</t>
        </is>
      </c>
      <c r="B72" s="2" t="inlineStr">
        <is>
          <t>Technologique</t>
        </is>
      </c>
      <c r="C72" s="2" t="inlineStr">
        <is>
          <t>Data leakage prevention</t>
        </is>
      </c>
      <c r="D72" s="2" t="inlineStr">
        <is>
          <t>Prévention de la fuite de données</t>
        </is>
      </c>
      <c r="E72" s="2" t="inlineStr">
        <is>
          <t>Oui</t>
        </is>
      </c>
      <c r="F72" s="2" t="inlineStr">
        <is>
          <t>Oui</t>
        </is>
      </c>
      <c r="G72" s="2" t="inlineStr">
        <is>
          <t>Aucune mesure ; exports clients possibles vers comptes personnels.</t>
        </is>
      </c>
      <c r="H72" s="2" t="n">
        <v>0</v>
      </c>
      <c r="I72" s="2" t="n">
        <v>1</v>
      </c>
      <c r="J72" s="2" t="n">
        <v>1</v>
      </c>
      <c r="K72" s="2" t="inlineStr">
        <is>
          <t>Mesures légères : restriction des partages externes Drive, pas d'outil DLP dédié.</t>
        </is>
      </c>
      <c r="L72" s="2" t="inlineStr">
        <is>
          <t>P3</t>
        </is>
      </c>
      <c r="M72" s="2" t="inlineStr">
        <is>
          <t>R03</t>
        </is>
      </c>
    </row>
    <row r="73">
      <c r="A73" s="2" t="inlineStr">
        <is>
          <t>8.13</t>
        </is>
      </c>
      <c r="B73" s="2" t="inlineStr">
        <is>
          <t>Technologique</t>
        </is>
      </c>
      <c r="C73" s="2" t="inlineStr">
        <is>
          <t>Information backup</t>
        </is>
      </c>
      <c r="D73" s="2" t="inlineStr">
        <is>
          <t>Sauvegarde des informations</t>
        </is>
      </c>
      <c r="E73" s="2" t="inlineStr">
        <is>
          <t>Non</t>
        </is>
      </c>
      <c r="F73" s="2" t="inlineStr">
        <is>
          <t>Oui</t>
        </is>
      </c>
      <c r="G73" s="2" t="inlineStr">
        <is>
          <t>Sauvegardes automatiques de l'hébergeur (rétention inconnue) ; PC comptable non sauvegardé ; aucun test de restauration.</t>
        </is>
      </c>
      <c r="H73" s="2" t="n">
        <v>1</v>
      </c>
      <c r="I73" s="2" t="n">
        <v>3</v>
      </c>
      <c r="J73" s="2" t="n">
        <v>2</v>
      </c>
      <c r="K73" s="2" t="inlineStr">
        <is>
          <t>Règle 3-2-1 : export BDD quotidien + copie hors hébergeur + copie hors ligne ; test trimestriel.</t>
        </is>
      </c>
      <c r="L73" s="2" t="inlineStr">
        <is>
          <t>P1</t>
        </is>
      </c>
      <c r="M73" s="2" t="inlineStr">
        <is>
          <t>R02, R06</t>
        </is>
      </c>
    </row>
    <row r="74">
      <c r="A74" s="2" t="inlineStr">
        <is>
          <t>8.14</t>
        </is>
      </c>
      <c r="B74" s="2" t="inlineStr">
        <is>
          <t>Technologique</t>
        </is>
      </c>
      <c r="C74" s="2" t="inlineStr">
        <is>
          <t>Redundancy of information processing facilities</t>
        </is>
      </c>
      <c r="D74" s="2" t="inlineStr">
        <is>
          <t>Redondance des moyens de traitement</t>
        </is>
      </c>
      <c r="E74" s="2" t="inlineStr">
        <is>
          <t>Non</t>
        </is>
      </c>
      <c r="F74" s="2" t="inlineStr">
        <is>
          <t>Oui</t>
        </is>
      </c>
      <c r="G74" s="2" t="inlineStr">
        <is>
          <t>Dépend entièrement de l'offre mutualisée.</t>
        </is>
      </c>
      <c r="H74" s="2" t="n">
        <v>1</v>
      </c>
      <c r="I74" s="2" t="n">
        <v>2</v>
      </c>
      <c r="J74" s="2" t="n">
        <v>1</v>
      </c>
      <c r="K74" s="2" t="inlineStr">
        <is>
          <t>Proportionné : pouvoir redéployer le site chez un autre hébergeur en &lt; 48 h.</t>
        </is>
      </c>
      <c r="L74" s="2" t="inlineStr">
        <is>
          <t>P3</t>
        </is>
      </c>
      <c r="M74" s="2" t="inlineStr">
        <is>
          <t>R06</t>
        </is>
      </c>
    </row>
    <row r="75">
      <c r="A75" s="2" t="inlineStr">
        <is>
          <t>8.15</t>
        </is>
      </c>
      <c r="B75" s="2" t="inlineStr">
        <is>
          <t>Technologique</t>
        </is>
      </c>
      <c r="C75" s="2" t="inlineStr">
        <is>
          <t>Logging</t>
        </is>
      </c>
      <c r="D75" s="2" t="inlineStr">
        <is>
          <t>Journalisation</t>
        </is>
      </c>
      <c r="E75" s="2" t="inlineStr">
        <is>
          <t>Non</t>
        </is>
      </c>
      <c r="F75" s="2" t="inlineStr">
        <is>
          <t>Oui</t>
        </is>
      </c>
      <c r="G75" s="2" t="inlineStr">
        <is>
          <t>Journaux Apache de l'hébergeur (rétention courte) ; aucune journalisation applicative des connexions back-office.</t>
        </is>
      </c>
      <c r="H75" s="2" t="n">
        <v>1</v>
      </c>
      <c r="I75" s="2" t="n">
        <v>2</v>
      </c>
      <c r="J75" s="2" t="n">
        <v>1</v>
      </c>
      <c r="K75" s="2" t="inlineStr">
        <is>
          <t>Journaliser connexions et actions d'administration ; conserver selon une durée définie.</t>
        </is>
      </c>
      <c r="L75" s="2" t="inlineStr">
        <is>
          <t>P2</t>
        </is>
      </c>
      <c r="M75" s="2" t="inlineStr">
        <is>
          <t>R01, R03, R05</t>
        </is>
      </c>
    </row>
    <row r="76">
      <c r="A76" s="2" t="inlineStr">
        <is>
          <t>8.16</t>
        </is>
      </c>
      <c r="B76" s="2" t="inlineStr">
        <is>
          <t>Technologique</t>
        </is>
      </c>
      <c r="C76" s="2" t="inlineStr">
        <is>
          <t>Monitoring activities</t>
        </is>
      </c>
      <c r="D76" s="2" t="inlineStr">
        <is>
          <t>Activités de surveillance</t>
        </is>
      </c>
      <c r="E76" s="2" t="inlineStr">
        <is>
          <t>Oui</t>
        </is>
      </c>
      <c r="F76" s="2" t="inlineStr">
        <is>
          <t>Oui</t>
        </is>
      </c>
      <c r="G76" s="2" t="inlineStr">
        <is>
          <t>Personne ne consulte les journaux ni les alertes de sécurité Google.</t>
        </is>
      </c>
      <c r="H76" s="2" t="n">
        <v>0</v>
      </c>
      <c r="I76" s="2" t="n">
        <v>2</v>
      </c>
      <c r="J76" s="2" t="n">
        <v>2</v>
      </c>
      <c r="K76" s="2" t="inlineStr">
        <is>
          <t>Alertes de connexion, surveillance de disponibilité gratuite, revue mensuelle.</t>
        </is>
      </c>
      <c r="L76" s="2" t="inlineStr">
        <is>
          <t>P2</t>
        </is>
      </c>
      <c r="M76" s="2" t="inlineStr">
        <is>
          <t>R01, R08</t>
        </is>
      </c>
    </row>
    <row r="77">
      <c r="A77" s="2" t="inlineStr">
        <is>
          <t>8.17</t>
        </is>
      </c>
      <c r="B77" s="2" t="inlineStr">
        <is>
          <t>Technologique</t>
        </is>
      </c>
      <c r="C77" s="2" t="inlineStr">
        <is>
          <t>Clock synchronization</t>
        </is>
      </c>
      <c r="D77" s="2" t="inlineStr">
        <is>
          <t>Synchronisation des horloges</t>
        </is>
      </c>
      <c r="E77" s="2" t="inlineStr">
        <is>
          <t>Non</t>
        </is>
      </c>
      <c r="F77" s="2" t="inlineStr">
        <is>
          <t>Oui</t>
        </is>
      </c>
      <c r="G77" s="2" t="inlineStr">
        <is>
          <t>Postes Windows et hébergeur synchronisés NTP par défaut.</t>
        </is>
      </c>
      <c r="H77" s="2" t="n">
        <v>3</v>
      </c>
      <c r="I77" s="2" t="n">
        <v>3</v>
      </c>
      <c r="J77" s="2" t="n">
        <v>0</v>
      </c>
      <c r="K77" s="2" t="inlineStr">
        <is>
          <t>Conforme ; vérifier le fuseau horaire des journaux applicatifs.</t>
        </is>
      </c>
      <c r="L77" s="2" t="inlineStr">
        <is>
          <t>P3</t>
        </is>
      </c>
      <c r="M77" s="2" t="inlineStr"/>
    </row>
    <row r="78">
      <c r="A78" s="2" t="inlineStr">
        <is>
          <t>8.18</t>
        </is>
      </c>
      <c r="B78" s="2" t="inlineStr">
        <is>
          <t>Technologique</t>
        </is>
      </c>
      <c r="C78" s="2" t="inlineStr">
        <is>
          <t>Use of privileged utility programs</t>
        </is>
      </c>
      <c r="D78" s="2" t="inlineStr">
        <is>
          <t>Utilisation de programmes utilitaires à privilèges</t>
        </is>
      </c>
      <c r="E78" s="2" t="inlineStr">
        <is>
          <t>Non</t>
        </is>
      </c>
      <c r="F78" s="2" t="inlineStr">
        <is>
          <t>Oui</t>
        </is>
      </c>
      <c r="G78" s="2" t="inlineStr">
        <is>
          <t>Outil d'accès à distance installé par le réparateur, toujours actif.</t>
        </is>
      </c>
      <c r="H78" s="2" t="n">
        <v>1</v>
      </c>
      <c r="I78" s="2" t="n">
        <v>2</v>
      </c>
      <c r="J78" s="2" t="n">
        <v>1</v>
      </c>
      <c r="K78" s="2" t="inlineStr">
        <is>
          <t>Désinstaller les outils non utilisés ; prise en main à distance à la demande seulement.</t>
        </is>
      </c>
      <c r="L78" s="2" t="inlineStr">
        <is>
          <t>P3</t>
        </is>
      </c>
      <c r="M78" s="2" t="inlineStr">
        <is>
          <t>R02</t>
        </is>
      </c>
    </row>
    <row r="79">
      <c r="A79" s="2" t="inlineStr">
        <is>
          <t>8.19</t>
        </is>
      </c>
      <c r="B79" s="2" t="inlineStr">
        <is>
          <t>Technologique</t>
        </is>
      </c>
      <c r="C79" s="2" t="inlineStr">
        <is>
          <t>Installation of software on operational systems</t>
        </is>
      </c>
      <c r="D79" s="2" t="inlineStr">
        <is>
          <t>Installation de logiciels sur les systèmes en exploitation</t>
        </is>
      </c>
      <c r="E79" s="2" t="inlineStr">
        <is>
          <t>Non</t>
        </is>
      </c>
      <c r="F79" s="2" t="inlineStr">
        <is>
          <t>Oui</t>
        </is>
      </c>
      <c r="G79" s="2" t="inlineStr">
        <is>
          <t>Chacun installe librement des logiciels (comptes admin).</t>
        </is>
      </c>
      <c r="H79" s="2" t="n">
        <v>0</v>
      </c>
      <c r="I79" s="2" t="n">
        <v>2</v>
      </c>
      <c r="J79" s="2" t="n">
        <v>2</v>
      </c>
      <c r="K79" s="2" t="inlineStr">
        <is>
          <t>Installation réservée au compte admin ; liste de logiciels autorisés.</t>
        </is>
      </c>
      <c r="L79" s="2" t="inlineStr">
        <is>
          <t>P2</t>
        </is>
      </c>
      <c r="M79" s="2" t="inlineStr">
        <is>
          <t>R02</t>
        </is>
      </c>
    </row>
    <row r="80">
      <c r="A80" s="2" t="inlineStr">
        <is>
          <t>8.20</t>
        </is>
      </c>
      <c r="B80" s="2" t="inlineStr">
        <is>
          <t>Technologique</t>
        </is>
      </c>
      <c r="C80" s="2" t="inlineStr">
        <is>
          <t>Networks security</t>
        </is>
      </c>
      <c r="D80" s="2" t="inlineStr">
        <is>
          <t>Sécurité des réseaux</t>
        </is>
      </c>
      <c r="E80" s="2" t="inlineStr">
        <is>
          <t>Non</t>
        </is>
      </c>
      <c r="F80" s="2" t="inlineStr">
        <is>
          <t>Oui</t>
        </is>
      </c>
      <c r="G80" s="2" t="inlineStr">
        <is>
          <t>Box FAI : WPS activé, clé Wi-Fi partagée depuis plusieurs années, interface d'administration avec mot de passe par défaut.</t>
        </is>
      </c>
      <c r="H80" s="2" t="n">
        <v>1</v>
      </c>
      <c r="I80" s="2" t="n">
        <v>3</v>
      </c>
      <c r="J80" s="2" t="n">
        <v>2</v>
      </c>
      <c r="K80" s="2" t="inlineStr">
        <is>
          <t>Changer le mot de passe admin, désactiver WPS, WPA2/WPA3 avec clé forte, firmware à jour.</t>
        </is>
      </c>
      <c r="L80" s="2" t="inlineStr">
        <is>
          <t>P1</t>
        </is>
      </c>
      <c r="M80" s="2" t="inlineStr">
        <is>
          <t>R10</t>
        </is>
      </c>
    </row>
    <row r="81">
      <c r="A81" s="2" t="inlineStr">
        <is>
          <t>8.21</t>
        </is>
      </c>
      <c r="B81" s="2" t="inlineStr">
        <is>
          <t>Technologique</t>
        </is>
      </c>
      <c r="C81" s="2" t="inlineStr">
        <is>
          <t>Security of network services</t>
        </is>
      </c>
      <c r="D81" s="2" t="inlineStr">
        <is>
          <t>Sécurité des services réseau</t>
        </is>
      </c>
      <c r="E81" s="2" t="inlineStr">
        <is>
          <t>Non</t>
        </is>
      </c>
      <c r="F81" s="2" t="inlineStr">
        <is>
          <t>Oui</t>
        </is>
      </c>
      <c r="G81" s="2" t="inlineStr">
        <is>
          <t>HTTPS actif (certificat gratuit) ; DNS chez le bureau d'enregistrement sans verrou de transfert.</t>
        </is>
      </c>
      <c r="H81" s="2" t="n">
        <v>1</v>
      </c>
      <c r="I81" s="2" t="n">
        <v>2</v>
      </c>
      <c r="J81" s="2" t="n">
        <v>1</v>
      </c>
      <c r="K81" s="2" t="inlineStr">
        <is>
          <t>Activer le verrou de domaine ; HSTS ; envisager CDN/WAF gratuit.</t>
        </is>
      </c>
      <c r="L81" s="2" t="inlineStr">
        <is>
          <t>P3</t>
        </is>
      </c>
      <c r="M81" s="2" t="inlineStr">
        <is>
          <t>R08</t>
        </is>
      </c>
    </row>
    <row r="82">
      <c r="A82" s="2" t="inlineStr">
        <is>
          <t>8.22</t>
        </is>
      </c>
      <c r="B82" s="2" t="inlineStr">
        <is>
          <t>Technologique</t>
        </is>
      </c>
      <c r="C82" s="2" t="inlineStr">
        <is>
          <t>Segregation of networks</t>
        </is>
      </c>
      <c r="D82" s="2" t="inlineStr">
        <is>
          <t>Cloisonnement des réseaux</t>
        </is>
      </c>
      <c r="E82" s="2" t="inlineStr">
        <is>
          <t>Non</t>
        </is>
      </c>
      <c r="F82" s="2" t="inlineStr">
        <is>
          <t>Oui</t>
        </is>
      </c>
      <c r="G82" s="2" t="inlineStr">
        <is>
          <t>Un seul réseau pour PC, imprimante, smartphones personnels et visiteurs.</t>
        </is>
      </c>
      <c r="H82" s="2" t="n">
        <v>0</v>
      </c>
      <c r="I82" s="2" t="n">
        <v>2</v>
      </c>
      <c r="J82" s="2" t="n">
        <v>2</v>
      </c>
      <c r="K82" s="2" t="inlineStr">
        <is>
          <t>Réseau invité séparé pour visiteurs et appareils personnels.</t>
        </is>
      </c>
      <c r="L82" s="2" t="inlineStr">
        <is>
          <t>P2</t>
        </is>
      </c>
      <c r="M82" s="2" t="inlineStr">
        <is>
          <t>R10</t>
        </is>
      </c>
    </row>
    <row r="83">
      <c r="A83" s="2" t="inlineStr">
        <is>
          <t>8.23</t>
        </is>
      </c>
      <c r="B83" s="2" t="inlineStr">
        <is>
          <t>Technologique</t>
        </is>
      </c>
      <c r="C83" s="2" t="inlineStr">
        <is>
          <t>Web filtering</t>
        </is>
      </c>
      <c r="D83" s="2" t="inlineStr">
        <is>
          <t>Filtrage web</t>
        </is>
      </c>
      <c r="E83" s="2" t="inlineStr">
        <is>
          <t>Oui</t>
        </is>
      </c>
      <c r="F83" s="2" t="inlineStr">
        <is>
          <t>Oui</t>
        </is>
      </c>
      <c r="G83" s="2" t="inlineStr">
        <is>
          <t>Aucun filtrage.</t>
        </is>
      </c>
      <c r="H83" s="2" t="n">
        <v>0</v>
      </c>
      <c r="I83" s="2" t="n">
        <v>1</v>
      </c>
      <c r="J83" s="2" t="n">
        <v>1</v>
      </c>
      <c r="K83" s="2" t="inlineStr">
        <is>
          <t>DNS filtrant gratuit sur la box (filtrage des domaines malveillants connus).</t>
        </is>
      </c>
      <c r="L83" s="2" t="inlineStr">
        <is>
          <t>P3</t>
        </is>
      </c>
      <c r="M83" s="2" t="inlineStr">
        <is>
          <t>R02</t>
        </is>
      </c>
    </row>
    <row r="84">
      <c r="A84" s="2" t="inlineStr">
        <is>
          <t>8.24</t>
        </is>
      </c>
      <c r="B84" s="2" t="inlineStr">
        <is>
          <t>Technologique</t>
        </is>
      </c>
      <c r="C84" s="2" t="inlineStr">
        <is>
          <t>Use of cryptography</t>
        </is>
      </c>
      <c r="D84" s="2" t="inlineStr">
        <is>
          <t>Utilisation de la cryptographie</t>
        </is>
      </c>
      <c r="E84" s="2" t="inlineStr">
        <is>
          <t>Non</t>
        </is>
      </c>
      <c r="F84" s="2" t="inlineStr">
        <is>
          <t>Oui</t>
        </is>
      </c>
      <c r="G84" s="2" t="inlineStr">
        <is>
          <t>TLS sur le site ; aucun chiffrement des postes ni des sauvegardes.</t>
        </is>
      </c>
      <c r="H84" s="2" t="n">
        <v>1</v>
      </c>
      <c r="I84" s="2" t="n">
        <v>2</v>
      </c>
      <c r="J84" s="2" t="n">
        <v>1</v>
      </c>
      <c r="K84" s="2" t="inlineStr">
        <is>
          <t>Chiffrement des portables et des sauvegardes hors site ; règle de gestion des clés.</t>
        </is>
      </c>
      <c r="L84" s="2" t="inlineStr">
        <is>
          <t>P2</t>
        </is>
      </c>
      <c r="M84" s="2" t="inlineStr">
        <is>
          <t>R03, R04, R12</t>
        </is>
      </c>
    </row>
    <row r="85">
      <c r="A85" s="2" t="inlineStr">
        <is>
          <t>8.25</t>
        </is>
      </c>
      <c r="B85" s="2" t="inlineStr">
        <is>
          <t>Technologique</t>
        </is>
      </c>
      <c r="C85" s="2" t="inlineStr">
        <is>
          <t>Secure development life cycle</t>
        </is>
      </c>
      <c r="D85" s="2" t="inlineStr">
        <is>
          <t>Cycle de vie de développement sécurisé</t>
        </is>
      </c>
      <c r="E85" s="2" t="inlineStr">
        <is>
          <t>Non</t>
        </is>
      </c>
      <c r="F85" s="2" t="inlineStr">
        <is>
          <t>Oui</t>
        </is>
      </c>
      <c r="G85" s="2" t="inlineStr">
        <is>
          <t>Modifications faites directement en production par le prestataire.</t>
        </is>
      </c>
      <c r="H85" s="2" t="n">
        <v>0</v>
      </c>
      <c r="I85" s="2" t="n">
        <v>2</v>
      </c>
      <c r="J85" s="2" t="n">
        <v>2</v>
      </c>
      <c r="K85" s="2" t="inlineStr">
        <is>
          <t>Processus minimal : dépôt Git, revue, préproduction, mise en ligne tracée.</t>
        </is>
      </c>
      <c r="L85" s="2" t="inlineStr">
        <is>
          <t>P2</t>
        </is>
      </c>
      <c r="M85" s="2" t="inlineStr">
        <is>
          <t>R03, R08</t>
        </is>
      </c>
    </row>
    <row r="86">
      <c r="A86" s="2" t="inlineStr">
        <is>
          <t>8.26</t>
        </is>
      </c>
      <c r="B86" s="2" t="inlineStr">
        <is>
          <t>Technologique</t>
        </is>
      </c>
      <c r="C86" s="2" t="inlineStr">
        <is>
          <t>Application security requirements</t>
        </is>
      </c>
      <c r="D86" s="2" t="inlineStr">
        <is>
          <t>Exigences de sécurité des applications</t>
        </is>
      </c>
      <c r="E86" s="2" t="inlineStr">
        <is>
          <t>Non</t>
        </is>
      </c>
      <c r="F86" s="2" t="inlineStr">
        <is>
          <t>Oui</t>
        </is>
      </c>
      <c r="G86" s="2" t="inlineStr">
        <is>
          <t>Aucune exigence exprimée au prestataire.</t>
        </is>
      </c>
      <c r="H86" s="2" t="n">
        <v>0</v>
      </c>
      <c r="I86" s="2" t="n">
        <v>2</v>
      </c>
      <c r="J86" s="2" t="n">
        <v>2</v>
      </c>
      <c r="K86" s="2" t="inlineStr">
        <is>
          <t>Exigences de base (référentiel OWASP ASVS niveau 1 comme base) dans le cahier des charges.</t>
        </is>
      </c>
      <c r="L86" s="2" t="inlineStr">
        <is>
          <t>P2</t>
        </is>
      </c>
      <c r="M86" s="2" t="inlineStr">
        <is>
          <t>R03, R08</t>
        </is>
      </c>
    </row>
    <row r="87">
      <c r="A87" s="2" t="inlineStr">
        <is>
          <t>8.27</t>
        </is>
      </c>
      <c r="B87" s="2" t="inlineStr">
        <is>
          <t>Technologique</t>
        </is>
      </c>
      <c r="C87" s="2" t="inlineStr">
        <is>
          <t>Secure system architecture and engineering principles</t>
        </is>
      </c>
      <c r="D87" s="2" t="inlineStr">
        <is>
          <t>Principes d'ingénierie et d'architecture sécurisées</t>
        </is>
      </c>
      <c r="E87" s="2" t="inlineStr">
        <is>
          <t>Non</t>
        </is>
      </c>
      <c r="F87" s="2" t="inlineStr">
        <is>
          <t>Oui</t>
        </is>
      </c>
      <c r="G87" s="2" t="inlineStr">
        <is>
          <t>Architecture simple ; compte BDD de l'application avec tous les privilèges.</t>
        </is>
      </c>
      <c r="H87" s="2" t="n">
        <v>1</v>
      </c>
      <c r="I87" s="2" t="n">
        <v>2</v>
      </c>
      <c r="J87" s="2" t="n">
        <v>1</v>
      </c>
      <c r="K87" s="2" t="inlineStr">
        <is>
          <t>Moindre privilège du compte BDD ; séparation des secrets.</t>
        </is>
      </c>
      <c r="L87" s="2" t="inlineStr">
        <is>
          <t>P3</t>
        </is>
      </c>
      <c r="M87" s="2" t="inlineStr">
        <is>
          <t>R03</t>
        </is>
      </c>
    </row>
    <row r="88">
      <c r="A88" s="2" t="inlineStr">
        <is>
          <t>8.28</t>
        </is>
      </c>
      <c r="B88" s="2" t="inlineStr">
        <is>
          <t>Technologique</t>
        </is>
      </c>
      <c r="C88" s="2" t="inlineStr">
        <is>
          <t>Secure coding</t>
        </is>
      </c>
      <c r="D88" s="2" t="inlineStr">
        <is>
          <t>Codage sécurisé</t>
        </is>
      </c>
      <c r="E88" s="2" t="inlineStr">
        <is>
          <t>Oui</t>
        </is>
      </c>
      <c r="F88" s="2" t="inlineStr">
        <is>
          <t>Oui</t>
        </is>
      </c>
      <c r="G88" s="2" t="inlineStr">
        <is>
          <t>Code PHP hétérogène : requêtes préparées sur la plupart des pages, mais quelques concaténations SQL et sorties non échappées.</t>
        </is>
      </c>
      <c r="H88" s="2" t="n">
        <v>1</v>
      </c>
      <c r="I88" s="2" t="n">
        <v>3</v>
      </c>
      <c r="J88" s="2" t="n">
        <v>2</v>
      </c>
      <c r="K88" s="2" t="inlineStr">
        <is>
          <t>Requêtes préparées partout, échappement des sorties, jetons CSRF, revue de code.</t>
        </is>
      </c>
      <c r="L88" s="2" t="inlineStr">
        <is>
          <t>P1</t>
        </is>
      </c>
      <c r="M88" s="2" t="inlineStr">
        <is>
          <t>R03, R08</t>
        </is>
      </c>
    </row>
    <row r="89">
      <c r="A89" s="2" t="inlineStr">
        <is>
          <t>8.29</t>
        </is>
      </c>
      <c r="B89" s="2" t="inlineStr">
        <is>
          <t>Technologique</t>
        </is>
      </c>
      <c r="C89" s="2" t="inlineStr">
        <is>
          <t>Security testing in development and acceptance</t>
        </is>
      </c>
      <c r="D89" s="2" t="inlineStr">
        <is>
          <t>Tests de sécurité en développement et recette</t>
        </is>
      </c>
      <c r="E89" s="2" t="inlineStr">
        <is>
          <t>Non</t>
        </is>
      </c>
      <c r="F89" s="2" t="inlineStr">
        <is>
          <t>Oui</t>
        </is>
      </c>
      <c r="G89" s="2" t="inlineStr">
        <is>
          <t>Aucun test de sécurité avant mise en ligne.</t>
        </is>
      </c>
      <c r="H89" s="2" t="n">
        <v>0</v>
      </c>
      <c r="I89" s="2" t="n">
        <v>2</v>
      </c>
      <c r="J89" s="2" t="n">
        <v>2</v>
      </c>
      <c r="K89" s="2" t="inlineStr">
        <is>
          <t>Scan automatisé (outil open source) avant chaque mise en ligne majeure.</t>
        </is>
      </c>
      <c r="L89" s="2" t="inlineStr">
        <is>
          <t>P2</t>
        </is>
      </c>
      <c r="M89" s="2" t="inlineStr">
        <is>
          <t>R03, R08</t>
        </is>
      </c>
    </row>
    <row r="90">
      <c r="A90" s="2" t="inlineStr">
        <is>
          <t>8.30</t>
        </is>
      </c>
      <c r="B90" s="2" t="inlineStr">
        <is>
          <t>Technologique</t>
        </is>
      </c>
      <c r="C90" s="2" t="inlineStr">
        <is>
          <t>Outsourced development</t>
        </is>
      </c>
      <c r="D90" s="2" t="inlineStr">
        <is>
          <t>Développement externalisé</t>
        </is>
      </c>
      <c r="E90" s="2" t="inlineStr">
        <is>
          <t>Non</t>
        </is>
      </c>
      <c r="F90" s="2" t="inlineStr">
        <is>
          <t>Oui</t>
        </is>
      </c>
      <c r="G90" s="2" t="inlineStr">
        <is>
          <t>Freelance sans contrat écrit, accès complet, pas de livrable documenté.</t>
        </is>
      </c>
      <c r="H90" s="2" t="n">
        <v>0</v>
      </c>
      <c r="I90" s="2" t="n">
        <v>3</v>
      </c>
      <c r="J90" s="2" t="n">
        <v>3</v>
      </c>
      <c r="K90" s="2" t="inlineStr">
        <is>
          <t>Contrat avec exigences sécurité, propriété du code, restitution des accès.</t>
        </is>
      </c>
      <c r="L90" s="2" t="inlineStr">
        <is>
          <t>P1</t>
        </is>
      </c>
      <c r="M90" s="2" t="inlineStr">
        <is>
          <t>R03, R04, R11</t>
        </is>
      </c>
    </row>
    <row r="91">
      <c r="A91" s="2" t="inlineStr">
        <is>
          <t>8.31</t>
        </is>
      </c>
      <c r="B91" s="2" t="inlineStr">
        <is>
          <t>Technologique</t>
        </is>
      </c>
      <c r="C91" s="2" t="inlineStr">
        <is>
          <t>Separation of development, test and production environments</t>
        </is>
      </c>
      <c r="D91" s="2" t="inlineStr">
        <is>
          <t>Séparation des environnements</t>
        </is>
      </c>
      <c r="E91" s="2" t="inlineStr">
        <is>
          <t>Non</t>
        </is>
      </c>
      <c r="F91" s="2" t="inlineStr">
        <is>
          <t>Oui</t>
        </is>
      </c>
      <c r="G91" s="2" t="inlineStr">
        <is>
          <t>Aucune préproduction.</t>
        </is>
      </c>
      <c r="H91" s="2" t="n">
        <v>0</v>
      </c>
      <c r="I91" s="2" t="n">
        <v>2</v>
      </c>
      <c r="J91" s="2" t="n">
        <v>2</v>
      </c>
      <c r="K91" s="2" t="inlineStr">
        <is>
          <t>Créer une préproduction (sous-domaine protégé) sans données réelles.</t>
        </is>
      </c>
      <c r="L91" s="2" t="inlineStr">
        <is>
          <t>P3</t>
        </is>
      </c>
      <c r="M91" s="2" t="inlineStr">
        <is>
          <t>R08</t>
        </is>
      </c>
    </row>
    <row r="92">
      <c r="A92" s="2" t="inlineStr">
        <is>
          <t>8.32</t>
        </is>
      </c>
      <c r="B92" s="2" t="inlineStr">
        <is>
          <t>Technologique</t>
        </is>
      </c>
      <c r="C92" s="2" t="inlineStr">
        <is>
          <t>Change management</t>
        </is>
      </c>
      <c r="D92" s="2" t="inlineStr">
        <is>
          <t>Gestion des changements</t>
        </is>
      </c>
      <c r="E92" s="2" t="inlineStr">
        <is>
          <t>Non</t>
        </is>
      </c>
      <c r="F92" s="2" t="inlineStr">
        <is>
          <t>Oui</t>
        </is>
      </c>
      <c r="G92" s="2" t="inlineStr">
        <is>
          <t>Changements non tracés.</t>
        </is>
      </c>
      <c r="H92" s="2" t="n">
        <v>0</v>
      </c>
      <c r="I92" s="2" t="n">
        <v>2</v>
      </c>
      <c r="J92" s="2" t="n">
        <v>2</v>
      </c>
      <c r="K92" s="2" t="inlineStr">
        <is>
          <t>Journal des changements (date, auteur, objet, retour arrière).</t>
        </is>
      </c>
      <c r="L92" s="2" t="inlineStr">
        <is>
          <t>P3</t>
        </is>
      </c>
      <c r="M92" s="2" t="inlineStr">
        <is>
          <t>R06, R08</t>
        </is>
      </c>
    </row>
    <row r="93">
      <c r="A93" s="2" t="inlineStr">
        <is>
          <t>8.33</t>
        </is>
      </c>
      <c r="B93" s="2" t="inlineStr">
        <is>
          <t>Technologique</t>
        </is>
      </c>
      <c r="C93" s="2" t="inlineStr">
        <is>
          <t>Test information</t>
        </is>
      </c>
      <c r="D93" s="2" t="inlineStr">
        <is>
          <t>Informations de test</t>
        </is>
      </c>
      <c r="E93" s="2" t="inlineStr">
        <is>
          <t>Non</t>
        </is>
      </c>
      <c r="F93" s="2" t="inlineStr">
        <is>
          <t>Oui</t>
        </is>
      </c>
      <c r="G93" s="2" t="inlineStr">
        <is>
          <t>Tests occasionnels avec de vraies commandes clients.</t>
        </is>
      </c>
      <c r="H93" s="2" t="n">
        <v>1</v>
      </c>
      <c r="I93" s="2" t="n">
        <v>2</v>
      </c>
      <c r="J93" s="2" t="n">
        <v>1</v>
      </c>
      <c r="K93" s="2" t="inlineStr">
        <is>
          <t>Données de test fictives ; jamais d'export réel hors production.</t>
        </is>
      </c>
      <c r="L93" s="2" t="inlineStr">
        <is>
          <t>P3</t>
        </is>
      </c>
      <c r="M93" s="2" t="inlineStr">
        <is>
          <t>R03</t>
        </is>
      </c>
    </row>
    <row r="94">
      <c r="A94" s="2" t="inlineStr">
        <is>
          <t>8.34</t>
        </is>
      </c>
      <c r="B94" s="2" t="inlineStr">
        <is>
          <t>Technologique</t>
        </is>
      </c>
      <c r="C94" s="2" t="inlineStr">
        <is>
          <t>Protection of information systems during audit testing</t>
        </is>
      </c>
      <c r="D94" s="2" t="inlineStr">
        <is>
          <t>Protection des SI pendant les tests d'audit</t>
        </is>
      </c>
      <c r="E94" s="2" t="inlineStr">
        <is>
          <t>Non</t>
        </is>
      </c>
      <c r="F94" s="2" t="inlineStr">
        <is>
          <t>Oui</t>
        </is>
      </c>
      <c r="G94" s="2" t="inlineStr">
        <is>
          <t>Présent audit réalisé sans test intrusif (entretiens + observation + revue documentaire).</t>
        </is>
      </c>
      <c r="H94" s="2" t="n">
        <v>2</v>
      </c>
      <c r="I94" s="2" t="n">
        <v>2</v>
      </c>
      <c r="J94" s="2" t="n">
        <v>0</v>
      </c>
      <c r="K94" s="2" t="inlineStr">
        <is>
          <t>Pour tout test technique futur : autorisation écrite, fenêtre, sauvegarde préalable.</t>
        </is>
      </c>
      <c r="L94" s="2" t="inlineStr">
        <is>
          <t>P3</t>
        </is>
      </c>
      <c r="M94" s="2" t="inlineStr"/>
    </row>
  </sheetData>
  <autoFilter ref="A1:M94"/>
  <conditionalFormatting sqref="H2:H94">
    <cfRule type="cellIs" priority="1" operator="between" dxfId="0">
      <formula>0</formula>
      <formula>0</formula>
    </cfRule>
    <cfRule type="cellIs" priority="2" operator="between" dxfId="1">
      <formula>1</formula>
      <formula>1</formula>
    </cfRule>
    <cfRule type="cellIs" priority="3" operator="between" dxfId="2">
      <formula>2</formula>
      <formula>2</formula>
    </cfRule>
    <cfRule type="cellIs" priority="4" operator="between" dxfId="3">
      <formula>3</formula>
      <formula>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55" customWidth="1" min="4" max="4"/>
    <col width="18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Mesure (EN)</t>
        </is>
      </c>
      <c r="C1" s="1" t="inlineStr">
        <is>
          <t>Applicable</t>
        </is>
      </c>
      <c r="D1" s="1" t="inlineStr">
        <is>
          <t>Justification inclusion / exclusion</t>
        </is>
      </c>
      <c r="E1" s="1" t="inlineStr">
        <is>
          <t>État de mise en oeuvre</t>
        </is>
      </c>
      <c r="F1" s="1" t="inlineStr">
        <is>
          <t>Action(s) du plan</t>
        </is>
      </c>
    </row>
    <row r="2">
      <c r="A2" s="2" t="inlineStr">
        <is>
          <t>5.1</t>
        </is>
      </c>
      <c r="B2" s="2" t="inlineStr">
        <is>
          <t>Policies for information security</t>
        </is>
      </c>
      <c r="C2" s="2" t="inlineStr">
        <is>
          <t>Oui</t>
        </is>
      </c>
      <c r="D2" s="2" t="inlineStr">
        <is>
          <t>Socle de gouvernance - tous risques</t>
        </is>
      </c>
      <c r="E2" s="2" t="inlineStr">
        <is>
          <t>Non mis en oeuvre</t>
        </is>
      </c>
      <c r="F2" s="2" t="inlineStr">
        <is>
          <t>A11</t>
        </is>
      </c>
    </row>
    <row r="3">
      <c r="A3" s="2" t="inlineStr">
        <is>
          <t>5.2</t>
        </is>
      </c>
      <c r="B3" s="2" t="inlineStr">
        <is>
          <t>Information security roles and responsibilities</t>
        </is>
      </c>
      <c r="C3" s="2" t="inlineStr">
        <is>
          <t>Oui</t>
        </is>
      </c>
      <c r="D3" s="2" t="inlineStr">
        <is>
          <t>Socle de gouvernance - tous risques</t>
        </is>
      </c>
      <c r="E3" s="2" t="inlineStr">
        <is>
          <t>Partiel</t>
        </is>
      </c>
      <c r="F3" s="2" t="inlineStr"/>
    </row>
    <row r="4">
      <c r="A4" s="2" t="inlineStr">
        <is>
          <t>5.3</t>
        </is>
      </c>
      <c r="B4" s="2" t="inlineStr">
        <is>
          <t>Segregation of duties</t>
        </is>
      </c>
      <c r="C4" s="2" t="inlineStr">
        <is>
          <t>Oui</t>
        </is>
      </c>
      <c r="D4" s="2" t="inlineStr">
        <is>
          <t>Traitement des risques R07</t>
        </is>
      </c>
      <c r="E4" s="2" t="inlineStr">
        <is>
          <t>Partiel</t>
        </is>
      </c>
      <c r="F4" s="2" t="inlineStr">
        <is>
          <t>A07</t>
        </is>
      </c>
    </row>
    <row r="5">
      <c r="A5" s="2" t="inlineStr">
        <is>
          <t>5.4</t>
        </is>
      </c>
      <c r="B5" s="2" t="inlineStr">
        <is>
          <t>Management responsibilities</t>
        </is>
      </c>
      <c r="C5" s="2" t="inlineStr">
        <is>
          <t>Oui</t>
        </is>
      </c>
      <c r="D5" s="2" t="inlineStr">
        <is>
          <t>Socle de gouvernance - tous risques</t>
        </is>
      </c>
      <c r="E5" s="2" t="inlineStr">
        <is>
          <t>Partiel</t>
        </is>
      </c>
      <c r="F5" s="2" t="inlineStr">
        <is>
          <t>A22</t>
        </is>
      </c>
    </row>
    <row r="6">
      <c r="A6" s="2" t="inlineStr">
        <is>
          <t>5.5</t>
        </is>
      </c>
      <c r="B6" s="2" t="inlineStr">
        <is>
          <t>Contact with authorities</t>
        </is>
      </c>
      <c r="C6" s="2" t="inlineStr">
        <is>
          <t>Oui</t>
        </is>
      </c>
      <c r="D6" s="2" t="inlineStr">
        <is>
          <t>Traitement des risques R03, R09</t>
        </is>
      </c>
      <c r="E6" s="2" t="inlineStr">
        <is>
          <t>Non mis en oeuvre</t>
        </is>
      </c>
      <c r="F6" s="2" t="inlineStr">
        <is>
          <t>A16</t>
        </is>
      </c>
    </row>
    <row r="7">
      <c r="A7" s="2" t="inlineStr">
        <is>
          <t>5.6</t>
        </is>
      </c>
      <c r="B7" s="2" t="inlineStr">
        <is>
          <t>Contact with special interest groups</t>
        </is>
      </c>
      <c r="C7" s="2" t="inlineStr">
        <is>
          <t>Oui</t>
        </is>
      </c>
      <c r="D7" s="2" t="inlineStr">
        <is>
          <t>Bonne pratique de base (socle)</t>
        </is>
      </c>
      <c r="E7" s="2" t="inlineStr">
        <is>
          <t>Non mis en oeuvre</t>
        </is>
      </c>
      <c r="F7" s="2" t="inlineStr"/>
    </row>
    <row r="8">
      <c r="A8" s="2" t="inlineStr">
        <is>
          <t>5.7</t>
        </is>
      </c>
      <c r="B8" s="2" t="inlineStr">
        <is>
          <t>Threat intelligence</t>
        </is>
      </c>
      <c r="C8" s="2" t="inlineStr">
        <is>
          <t>Oui</t>
        </is>
      </c>
      <c r="D8" s="2" t="inlineStr">
        <is>
          <t>Traitement des risques R01, R02</t>
        </is>
      </c>
      <c r="E8" s="2" t="inlineStr">
        <is>
          <t>Non mis en oeuvre</t>
        </is>
      </c>
      <c r="F8" s="2" t="inlineStr"/>
    </row>
    <row r="9">
      <c r="A9" s="2" t="inlineStr">
        <is>
          <t>5.8</t>
        </is>
      </c>
      <c r="B9" s="2" t="inlineStr">
        <is>
          <t>Information security in project management</t>
        </is>
      </c>
      <c r="C9" s="2" t="inlineStr">
        <is>
          <t>Oui</t>
        </is>
      </c>
      <c r="D9" s="2" t="inlineStr">
        <is>
          <t>Traitement des risques R03, R08</t>
        </is>
      </c>
      <c r="E9" s="2" t="inlineStr">
        <is>
          <t>Non mis en oeuvre</t>
        </is>
      </c>
      <c r="F9" s="2" t="inlineStr"/>
    </row>
    <row r="10">
      <c r="A10" s="2" t="inlineStr">
        <is>
          <t>5.9</t>
        </is>
      </c>
      <c r="B10" s="2" t="inlineStr">
        <is>
          <t>Inventory of information and other associated assets</t>
        </is>
      </c>
      <c r="C10" s="2" t="inlineStr">
        <is>
          <t>Oui</t>
        </is>
      </c>
      <c r="D10" s="2" t="inlineStr">
        <is>
          <t>Socle de gouvernance - tous risques</t>
        </is>
      </c>
      <c r="E10" s="2" t="inlineStr">
        <is>
          <t>Partiel</t>
        </is>
      </c>
      <c r="F10" s="2" t="inlineStr">
        <is>
          <t>A15</t>
        </is>
      </c>
    </row>
    <row r="11">
      <c r="A11" s="2" t="inlineStr">
        <is>
          <t>5.10</t>
        </is>
      </c>
      <c r="B11" s="2" t="inlineStr">
        <is>
          <t>Acceptable use of information and other associated assets</t>
        </is>
      </c>
      <c r="C11" s="2" t="inlineStr">
        <is>
          <t>Oui</t>
        </is>
      </c>
      <c r="D11" s="2" t="inlineStr">
        <is>
          <t>Traitement des risques R01, R02, R12</t>
        </is>
      </c>
      <c r="E11" s="2" t="inlineStr">
        <is>
          <t>Non mis en oeuvre</t>
        </is>
      </c>
      <c r="F11" s="2" t="inlineStr">
        <is>
          <t>A11</t>
        </is>
      </c>
    </row>
    <row r="12">
      <c r="A12" s="2" t="inlineStr">
        <is>
          <t>5.11</t>
        </is>
      </c>
      <c r="B12" s="2" t="inlineStr">
        <is>
          <t>Return of assets</t>
        </is>
      </c>
      <c r="C12" s="2" t="inlineStr">
        <is>
          <t>Oui</t>
        </is>
      </c>
      <c r="D12" s="2" t="inlineStr">
        <is>
          <t>Traitement des risques R11, R12</t>
        </is>
      </c>
      <c r="E12" s="2" t="inlineStr">
        <is>
          <t>Partiel</t>
        </is>
      </c>
      <c r="F12" s="2" t="inlineStr"/>
    </row>
    <row r="13">
      <c r="A13" s="2" t="inlineStr">
        <is>
          <t>5.12</t>
        </is>
      </c>
      <c r="B13" s="2" t="inlineStr">
        <is>
          <t>Classification of information</t>
        </is>
      </c>
      <c r="C13" s="2" t="inlineStr">
        <is>
          <t>Oui</t>
        </is>
      </c>
      <c r="D13" s="2" t="inlineStr">
        <is>
          <t>Traitement des risques R03</t>
        </is>
      </c>
      <c r="E13" s="2" t="inlineStr">
        <is>
          <t>Non mis en oeuvre</t>
        </is>
      </c>
      <c r="F13" s="2" t="inlineStr">
        <is>
          <t>A15</t>
        </is>
      </c>
    </row>
    <row r="14">
      <c r="A14" s="2" t="inlineStr">
        <is>
          <t>5.13</t>
        </is>
      </c>
      <c r="B14" s="2" t="inlineStr">
        <is>
          <t>Labelling of information</t>
        </is>
      </c>
      <c r="C14" s="2" t="inlineStr">
        <is>
          <t>Oui</t>
        </is>
      </c>
      <c r="D14" s="2" t="inlineStr">
        <is>
          <t>Bonne pratique de base (socle)</t>
        </is>
      </c>
      <c r="E14" s="2" t="inlineStr">
        <is>
          <t>Non mis en oeuvre</t>
        </is>
      </c>
      <c r="F14" s="2" t="inlineStr"/>
    </row>
    <row r="15">
      <c r="A15" s="2" t="inlineStr">
        <is>
          <t>5.14</t>
        </is>
      </c>
      <c r="B15" s="2" t="inlineStr">
        <is>
          <t>Information transfer</t>
        </is>
      </c>
      <c r="C15" s="2" t="inlineStr">
        <is>
          <t>Oui</t>
        </is>
      </c>
      <c r="D15" s="2" t="inlineStr">
        <is>
          <t>Traitement des risques R03, R07</t>
        </is>
      </c>
      <c r="E15" s="2" t="inlineStr">
        <is>
          <t>Partiel</t>
        </is>
      </c>
      <c r="F15" s="2" t="inlineStr">
        <is>
          <t>A07</t>
        </is>
      </c>
    </row>
    <row r="16">
      <c r="A16" s="2" t="inlineStr">
        <is>
          <t>5.15</t>
        </is>
      </c>
      <c r="B16" s="2" t="inlineStr">
        <is>
          <t>Access control</t>
        </is>
      </c>
      <c r="C16" s="2" t="inlineStr">
        <is>
          <t>Oui</t>
        </is>
      </c>
      <c r="D16" s="2" t="inlineStr">
        <is>
          <t>Traitement des risques R01, R05, R11</t>
        </is>
      </c>
      <c r="E16" s="2" t="inlineStr">
        <is>
          <t>Partiel</t>
        </is>
      </c>
      <c r="F16" s="2" t="inlineStr"/>
    </row>
    <row r="17">
      <c r="A17" s="2" t="inlineStr">
        <is>
          <t>5.16</t>
        </is>
      </c>
      <c r="B17" s="2" t="inlineStr">
        <is>
          <t>Identity management</t>
        </is>
      </c>
      <c r="C17" s="2" t="inlineStr">
        <is>
          <t>Oui</t>
        </is>
      </c>
      <c r="D17" s="2" t="inlineStr">
        <is>
          <t>Traitement des risques R05, R11</t>
        </is>
      </c>
      <c r="E17" s="2" t="inlineStr">
        <is>
          <t>Partiel</t>
        </is>
      </c>
      <c r="F17" s="2" t="inlineStr">
        <is>
          <t>A08</t>
        </is>
      </c>
    </row>
    <row r="18">
      <c r="A18" s="2" t="inlineStr">
        <is>
          <t>5.17</t>
        </is>
      </c>
      <c r="B18" s="2" t="inlineStr">
        <is>
          <t>Authentication information</t>
        </is>
      </c>
      <c r="C18" s="2" t="inlineStr">
        <is>
          <t>Oui</t>
        </is>
      </c>
      <c r="D18" s="2" t="inlineStr">
        <is>
          <t>Traitement des risques R01, R05</t>
        </is>
      </c>
      <c r="E18" s="2" t="inlineStr">
        <is>
          <t>Partiel</t>
        </is>
      </c>
      <c r="F18" s="2" t="inlineStr">
        <is>
          <t>A01, A03</t>
        </is>
      </c>
    </row>
    <row r="19">
      <c r="A19" s="2" t="inlineStr">
        <is>
          <t>5.18</t>
        </is>
      </c>
      <c r="B19" s="2" t="inlineStr">
        <is>
          <t>Access rights</t>
        </is>
      </c>
      <c r="C19" s="2" t="inlineStr">
        <is>
          <t>Oui</t>
        </is>
      </c>
      <c r="D19" s="2" t="inlineStr">
        <is>
          <t>Traitement des risques R11</t>
        </is>
      </c>
      <c r="E19" s="2" t="inlineStr">
        <is>
          <t>Partiel</t>
        </is>
      </c>
      <c r="F19" s="2" t="inlineStr">
        <is>
          <t>A08</t>
        </is>
      </c>
    </row>
    <row r="20">
      <c r="A20" s="2" t="inlineStr">
        <is>
          <t>5.19</t>
        </is>
      </c>
      <c r="B20" s="2" t="inlineStr">
        <is>
          <t>Information security in supplier relationships</t>
        </is>
      </c>
      <c r="C20" s="2" t="inlineStr">
        <is>
          <t>Oui</t>
        </is>
      </c>
      <c r="D20" s="2" t="inlineStr">
        <is>
          <t>Traitement des risques R05, R06, R11</t>
        </is>
      </c>
      <c r="E20" s="2" t="inlineStr">
        <is>
          <t>Non mis en oeuvre</t>
        </is>
      </c>
      <c r="F20" s="2" t="inlineStr">
        <is>
          <t>A14</t>
        </is>
      </c>
    </row>
    <row r="21">
      <c r="A21" s="2" t="inlineStr">
        <is>
          <t>5.20</t>
        </is>
      </c>
      <c r="B21" s="2" t="inlineStr">
        <is>
          <t>Addressing information security within supplier agreements</t>
        </is>
      </c>
      <c r="C21" s="2" t="inlineStr">
        <is>
          <t>Oui</t>
        </is>
      </c>
      <c r="D21" s="2" t="inlineStr">
        <is>
          <t>Traitement des risques R03, R09</t>
        </is>
      </c>
      <c r="E21" s="2" t="inlineStr">
        <is>
          <t>Non mis en oeuvre</t>
        </is>
      </c>
      <c r="F21" s="2" t="inlineStr">
        <is>
          <t>A14</t>
        </is>
      </c>
    </row>
    <row r="22">
      <c r="A22" s="2" t="inlineStr">
        <is>
          <t>5.21</t>
        </is>
      </c>
      <c r="B22" s="2" t="inlineStr">
        <is>
          <t>Managing information security in the ICT supply chain</t>
        </is>
      </c>
      <c r="C22" s="2" t="inlineStr">
        <is>
          <t>Oui</t>
        </is>
      </c>
      <c r="D22" s="2" t="inlineStr">
        <is>
          <t>Traitement des risques R03, R08</t>
        </is>
      </c>
      <c r="E22" s="2" t="inlineStr">
        <is>
          <t>Partiel</t>
        </is>
      </c>
      <c r="F22" s="2" t="inlineStr"/>
    </row>
    <row r="23">
      <c r="A23" s="2" t="inlineStr">
        <is>
          <t>5.22</t>
        </is>
      </c>
      <c r="B23" s="2" t="inlineStr">
        <is>
          <t>Monitoring, review and change management of supplier services</t>
        </is>
      </c>
      <c r="C23" s="2" t="inlineStr">
        <is>
          <t>Oui</t>
        </is>
      </c>
      <c r="D23" s="2" t="inlineStr">
        <is>
          <t>Traitement des risques R06</t>
        </is>
      </c>
      <c r="E23" s="2" t="inlineStr">
        <is>
          <t>Non mis en oeuvre</t>
        </is>
      </c>
      <c r="F23" s="2" t="inlineStr"/>
    </row>
    <row r="24">
      <c r="A24" s="2" t="inlineStr">
        <is>
          <t>5.23</t>
        </is>
      </c>
      <c r="B24" s="2" t="inlineStr">
        <is>
          <t>Information security for use of cloud services</t>
        </is>
      </c>
      <c r="C24" s="2" t="inlineStr">
        <is>
          <t>Oui</t>
        </is>
      </c>
      <c r="D24" s="2" t="inlineStr">
        <is>
          <t>Traitement des risques R01, R09</t>
        </is>
      </c>
      <c r="E24" s="2" t="inlineStr">
        <is>
          <t>Partiel</t>
        </is>
      </c>
      <c r="F24" s="2" t="inlineStr">
        <is>
          <t>A19</t>
        </is>
      </c>
    </row>
    <row r="25">
      <c r="A25" s="2" t="inlineStr">
        <is>
          <t>5.24</t>
        </is>
      </c>
      <c r="B25" s="2" t="inlineStr">
        <is>
          <t>Information security incident management planning and preparation</t>
        </is>
      </c>
      <c r="C25" s="2" t="inlineStr">
        <is>
          <t>Oui</t>
        </is>
      </c>
      <c r="D25" s="2" t="inlineStr">
        <is>
          <t>Traitement des risques R01, R02, R03</t>
        </is>
      </c>
      <c r="E25" s="2" t="inlineStr">
        <is>
          <t>Non mis en oeuvre</t>
        </is>
      </c>
      <c r="F25" s="2" t="inlineStr">
        <is>
          <t>A16</t>
        </is>
      </c>
    </row>
    <row r="26">
      <c r="A26" s="2" t="inlineStr">
        <is>
          <t>5.25</t>
        </is>
      </c>
      <c r="B26" s="2" t="inlineStr">
        <is>
          <t>Assessment and decision on information security events</t>
        </is>
      </c>
      <c r="C26" s="2" t="inlineStr">
        <is>
          <t>Oui</t>
        </is>
      </c>
      <c r="D26" s="2" t="inlineStr">
        <is>
          <t>Traitement des risques R01, R02</t>
        </is>
      </c>
      <c r="E26" s="2" t="inlineStr">
        <is>
          <t>Non mis en oeuvre</t>
        </is>
      </c>
      <c r="F26" s="2" t="inlineStr"/>
    </row>
    <row r="27">
      <c r="A27" s="2" t="inlineStr">
        <is>
          <t>5.26</t>
        </is>
      </c>
      <c r="B27" s="2" t="inlineStr">
        <is>
          <t>Response to information security incidents</t>
        </is>
      </c>
      <c r="C27" s="2" t="inlineStr">
        <is>
          <t>Oui</t>
        </is>
      </c>
      <c r="D27" s="2" t="inlineStr">
        <is>
          <t>Traitement des risques R02, R03</t>
        </is>
      </c>
      <c r="E27" s="2" t="inlineStr">
        <is>
          <t>Non mis en oeuvre</t>
        </is>
      </c>
      <c r="F27" s="2" t="inlineStr">
        <is>
          <t>A16</t>
        </is>
      </c>
    </row>
    <row r="28">
      <c r="A28" s="2" t="inlineStr">
        <is>
          <t>5.27</t>
        </is>
      </c>
      <c r="B28" s="2" t="inlineStr">
        <is>
          <t>Learning from information security incidents</t>
        </is>
      </c>
      <c r="C28" s="2" t="inlineStr">
        <is>
          <t>Oui</t>
        </is>
      </c>
      <c r="D28" s="2" t="inlineStr">
        <is>
          <t>Bonne pratique de base (socle)</t>
        </is>
      </c>
      <c r="E28" s="2" t="inlineStr">
        <is>
          <t>Non mis en oeuvre</t>
        </is>
      </c>
      <c r="F28" s="2" t="inlineStr"/>
    </row>
    <row r="29">
      <c r="A29" s="2" t="inlineStr">
        <is>
          <t>5.28</t>
        </is>
      </c>
      <c r="B29" s="2" t="inlineStr">
        <is>
          <t>Collection of evidence</t>
        </is>
      </c>
      <c r="C29" s="2" t="inlineStr">
        <is>
          <t>Oui</t>
        </is>
      </c>
      <c r="D29" s="2" t="inlineStr">
        <is>
          <t>Traitement des risques R03, R07</t>
        </is>
      </c>
      <c r="E29" s="2" t="inlineStr">
        <is>
          <t>Non mis en oeuvre</t>
        </is>
      </c>
      <c r="F29" s="2" t="inlineStr"/>
    </row>
    <row r="30">
      <c r="A30" s="2" t="inlineStr">
        <is>
          <t>5.29</t>
        </is>
      </c>
      <c r="B30" s="2" t="inlineStr">
        <is>
          <t>Information security during disruption</t>
        </is>
      </c>
      <c r="C30" s="2" t="inlineStr">
        <is>
          <t>Oui</t>
        </is>
      </c>
      <c r="D30" s="2" t="inlineStr">
        <is>
          <t>Traitement des risques R02, R06</t>
        </is>
      </c>
      <c r="E30" s="2" t="inlineStr">
        <is>
          <t>Non mis en oeuvre</t>
        </is>
      </c>
      <c r="F30" s="2" t="inlineStr">
        <is>
          <t>A20</t>
        </is>
      </c>
    </row>
    <row r="31">
      <c r="A31" s="2" t="inlineStr">
        <is>
          <t>5.30</t>
        </is>
      </c>
      <c r="B31" s="2" t="inlineStr">
        <is>
          <t>ICT readiness for business continuity</t>
        </is>
      </c>
      <c r="C31" s="2" t="inlineStr">
        <is>
          <t>Oui</t>
        </is>
      </c>
      <c r="D31" s="2" t="inlineStr">
        <is>
          <t>Traitement des risques R02, R06</t>
        </is>
      </c>
      <c r="E31" s="2" t="inlineStr">
        <is>
          <t>Non mis en oeuvre</t>
        </is>
      </c>
      <c r="F31" s="2" t="inlineStr">
        <is>
          <t>A04, A20</t>
        </is>
      </c>
    </row>
    <row r="32">
      <c r="A32" s="2" t="inlineStr">
        <is>
          <t>5.31</t>
        </is>
      </c>
      <c r="B32" s="2" t="inlineStr">
        <is>
          <t>Legal, statutory, regulatory and contractual requirements</t>
        </is>
      </c>
      <c r="C32" s="2" t="inlineStr">
        <is>
          <t>Oui</t>
        </is>
      </c>
      <c r="D32" s="2" t="inlineStr">
        <is>
          <t>Exigence légale (loi 09-08) et contractuelle</t>
        </is>
      </c>
      <c r="E32" s="2" t="inlineStr">
        <is>
          <t>Partiel</t>
        </is>
      </c>
      <c r="F32" s="2" t="inlineStr">
        <is>
          <t>A13</t>
        </is>
      </c>
    </row>
    <row r="33">
      <c r="A33" s="2" t="inlineStr">
        <is>
          <t>5.32</t>
        </is>
      </c>
      <c r="B33" s="2" t="inlineStr">
        <is>
          <t>Intellectual property rights</t>
        </is>
      </c>
      <c r="C33" s="2" t="inlineStr">
        <is>
          <t>Oui</t>
        </is>
      </c>
      <c r="D33" s="2" t="inlineStr">
        <is>
          <t>Bonne pratique de base (socle)</t>
        </is>
      </c>
      <c r="E33" s="2" t="inlineStr">
        <is>
          <t>Partiel</t>
        </is>
      </c>
      <c r="F33" s="2" t="inlineStr"/>
    </row>
    <row r="34">
      <c r="A34" s="2" t="inlineStr">
        <is>
          <t>5.33</t>
        </is>
      </c>
      <c r="B34" s="2" t="inlineStr">
        <is>
          <t>Protection of records</t>
        </is>
      </c>
      <c r="C34" s="2" t="inlineStr">
        <is>
          <t>Oui</t>
        </is>
      </c>
      <c r="D34" s="2" t="inlineStr">
        <is>
          <t>Obligations comptables et fiscales de conservation</t>
        </is>
      </c>
      <c r="E34" s="2" t="inlineStr">
        <is>
          <t>Partiel</t>
        </is>
      </c>
      <c r="F34" s="2" t="inlineStr"/>
    </row>
    <row r="35">
      <c r="A35" s="2" t="inlineStr">
        <is>
          <t>5.34</t>
        </is>
      </c>
      <c r="B35" s="2" t="inlineStr">
        <is>
          <t>Privacy and protection of PII</t>
        </is>
      </c>
      <c r="C35" s="2" t="inlineStr">
        <is>
          <t>Oui</t>
        </is>
      </c>
      <c r="D35" s="2" t="inlineStr">
        <is>
          <t>Exigence légale (loi 09-08, CNDP) - données clients</t>
        </is>
      </c>
      <c r="E35" s="2" t="inlineStr">
        <is>
          <t>Non mis en oeuvre</t>
        </is>
      </c>
      <c r="F35" s="2" t="inlineStr">
        <is>
          <t>A10, A13</t>
        </is>
      </c>
    </row>
    <row r="36">
      <c r="A36" s="2" t="inlineStr">
        <is>
          <t>5.35</t>
        </is>
      </c>
      <c r="B36" s="2" t="inlineStr">
        <is>
          <t>Independent review of information security</t>
        </is>
      </c>
      <c r="C36" s="2" t="inlineStr">
        <is>
          <t>Oui</t>
        </is>
      </c>
      <c r="D36" s="2" t="inlineStr">
        <is>
          <t>Bonne pratique de base (socle)</t>
        </is>
      </c>
      <c r="E36" s="2" t="inlineStr">
        <is>
          <t>Non mis en oeuvre</t>
        </is>
      </c>
      <c r="F36" s="2" t="inlineStr">
        <is>
          <t>A22</t>
        </is>
      </c>
    </row>
    <row r="37">
      <c r="A37" s="2" t="inlineStr">
        <is>
          <t>5.36</t>
        </is>
      </c>
      <c r="B37" s="2" t="inlineStr">
        <is>
          <t>Compliance with policies, rules and standards for information security</t>
        </is>
      </c>
      <c r="C37" s="2" t="inlineStr">
        <is>
          <t>Oui</t>
        </is>
      </c>
      <c r="D37" s="2" t="inlineStr">
        <is>
          <t>Bonne pratique de base (socle)</t>
        </is>
      </c>
      <c r="E37" s="2" t="inlineStr">
        <is>
          <t>Non mis en oeuvre</t>
        </is>
      </c>
      <c r="F37" s="2" t="inlineStr">
        <is>
          <t>A22</t>
        </is>
      </c>
    </row>
    <row r="38">
      <c r="A38" s="2" t="inlineStr">
        <is>
          <t>5.37</t>
        </is>
      </c>
      <c r="B38" s="2" t="inlineStr">
        <is>
          <t>Documented operating procedures</t>
        </is>
      </c>
      <c r="C38" s="2" t="inlineStr">
        <is>
          <t>Oui</t>
        </is>
      </c>
      <c r="D38" s="2" t="inlineStr">
        <is>
          <t>Traitement des risques R06</t>
        </is>
      </c>
      <c r="E38" s="2" t="inlineStr">
        <is>
          <t>Partiel</t>
        </is>
      </c>
      <c r="F38" s="2" t="inlineStr"/>
    </row>
    <row r="39">
      <c r="A39" s="2" t="inlineStr">
        <is>
          <t>6.1</t>
        </is>
      </c>
      <c r="B39" s="2" t="inlineStr">
        <is>
          <t>Screening</t>
        </is>
      </c>
      <c r="C39" s="2" t="inlineStr">
        <is>
          <t>Oui</t>
        </is>
      </c>
      <c r="D39" s="2" t="inlineStr">
        <is>
          <t>Traitement des risques R11</t>
        </is>
      </c>
      <c r="E39" s="2" t="inlineStr">
        <is>
          <t>Partiel</t>
        </is>
      </c>
      <c r="F39" s="2" t="inlineStr"/>
    </row>
    <row r="40">
      <c r="A40" s="2" t="inlineStr">
        <is>
          <t>6.2</t>
        </is>
      </c>
      <c r="B40" s="2" t="inlineStr">
        <is>
          <t>Terms and conditions of employment</t>
        </is>
      </c>
      <c r="C40" s="2" t="inlineStr">
        <is>
          <t>Oui</t>
        </is>
      </c>
      <c r="D40" s="2" t="inlineStr">
        <is>
          <t>Traitement des risques R11</t>
        </is>
      </c>
      <c r="E40" s="2" t="inlineStr">
        <is>
          <t>Partiel</t>
        </is>
      </c>
      <c r="F40" s="2" t="inlineStr">
        <is>
          <t>A11</t>
        </is>
      </c>
    </row>
    <row r="41">
      <c r="A41" s="2" t="inlineStr">
        <is>
          <t>6.3</t>
        </is>
      </c>
      <c r="B41" s="2" t="inlineStr">
        <is>
          <t>Information security awareness, education and training</t>
        </is>
      </c>
      <c r="C41" s="2" t="inlineStr">
        <is>
          <t>Oui</t>
        </is>
      </c>
      <c r="D41" s="2" t="inlineStr">
        <is>
          <t>Traitement des risques R01, R02, R07</t>
        </is>
      </c>
      <c r="E41" s="2" t="inlineStr">
        <is>
          <t>Non mis en oeuvre</t>
        </is>
      </c>
      <c r="F41" s="2" t="inlineStr">
        <is>
          <t>A12</t>
        </is>
      </c>
    </row>
    <row r="42">
      <c r="A42" s="2" t="inlineStr">
        <is>
          <t>6.4</t>
        </is>
      </c>
      <c r="B42" s="2" t="inlineStr">
        <is>
          <t>Disciplinary process</t>
        </is>
      </c>
      <c r="C42" s="2" t="inlineStr">
        <is>
          <t>Oui</t>
        </is>
      </c>
      <c r="D42" s="2" t="inlineStr">
        <is>
          <t>Bonne pratique de base (socle)</t>
        </is>
      </c>
      <c r="E42" s="2" t="inlineStr">
        <is>
          <t>Partiel</t>
        </is>
      </c>
      <c r="F42" s="2" t="inlineStr">
        <is>
          <t>A11</t>
        </is>
      </c>
    </row>
    <row r="43">
      <c r="A43" s="2" t="inlineStr">
        <is>
          <t>6.5</t>
        </is>
      </c>
      <c r="B43" s="2" t="inlineStr">
        <is>
          <t>Responsibilities after termination or change of employment</t>
        </is>
      </c>
      <c r="C43" s="2" t="inlineStr">
        <is>
          <t>Oui</t>
        </is>
      </c>
      <c r="D43" s="2" t="inlineStr">
        <is>
          <t>Traitement des risques R11</t>
        </is>
      </c>
      <c r="E43" s="2" t="inlineStr">
        <is>
          <t>Non mis en oeuvre</t>
        </is>
      </c>
      <c r="F43" s="2" t="inlineStr"/>
    </row>
    <row r="44">
      <c r="A44" s="2" t="inlineStr">
        <is>
          <t>6.6</t>
        </is>
      </c>
      <c r="B44" s="2" t="inlineStr">
        <is>
          <t>Confidentiality or non-disclosure agreements</t>
        </is>
      </c>
      <c r="C44" s="2" t="inlineStr">
        <is>
          <t>Oui</t>
        </is>
      </c>
      <c r="D44" s="2" t="inlineStr">
        <is>
          <t>Traitement des risques R03, R11</t>
        </is>
      </c>
      <c r="E44" s="2" t="inlineStr">
        <is>
          <t>Non mis en oeuvre</t>
        </is>
      </c>
      <c r="F44" s="2" t="inlineStr">
        <is>
          <t>A14</t>
        </is>
      </c>
    </row>
    <row r="45">
      <c r="A45" s="2" t="inlineStr">
        <is>
          <t>6.7</t>
        </is>
      </c>
      <c r="B45" s="2" t="inlineStr">
        <is>
          <t>Remote working</t>
        </is>
      </c>
      <c r="C45" s="2" t="inlineStr">
        <is>
          <t>Oui</t>
        </is>
      </c>
      <c r="D45" s="2" t="inlineStr">
        <is>
          <t>Traitement des risques R12</t>
        </is>
      </c>
      <c r="E45" s="2" t="inlineStr">
        <is>
          <t>Partiel</t>
        </is>
      </c>
      <c r="F45" s="2" t="inlineStr"/>
    </row>
    <row r="46">
      <c r="A46" s="2" t="inlineStr">
        <is>
          <t>6.8</t>
        </is>
      </c>
      <c r="B46" s="2" t="inlineStr">
        <is>
          <t>Information security event reporting</t>
        </is>
      </c>
      <c r="C46" s="2" t="inlineStr">
        <is>
          <t>Oui</t>
        </is>
      </c>
      <c r="D46" s="2" t="inlineStr">
        <is>
          <t>Traitement des risques R01, R02</t>
        </is>
      </c>
      <c r="E46" s="2" t="inlineStr">
        <is>
          <t>Non mis en oeuvre</t>
        </is>
      </c>
      <c r="F46" s="2" t="inlineStr">
        <is>
          <t>A12</t>
        </is>
      </c>
    </row>
    <row r="47">
      <c r="A47" s="2" t="inlineStr">
        <is>
          <t>7.1</t>
        </is>
      </c>
      <c r="B47" s="2" t="inlineStr">
        <is>
          <t>Physical security perimeters</t>
        </is>
      </c>
      <c r="C47" s="2" t="inlineStr">
        <is>
          <t>Oui</t>
        </is>
      </c>
      <c r="D47" s="2" t="inlineStr">
        <is>
          <t>Traitement des risques R12</t>
        </is>
      </c>
      <c r="E47" s="2" t="inlineStr">
        <is>
          <t>Partiel</t>
        </is>
      </c>
      <c r="F47" s="2" t="inlineStr"/>
    </row>
    <row r="48">
      <c r="A48" s="2" t="inlineStr">
        <is>
          <t>7.2</t>
        </is>
      </c>
      <c r="B48" s="2" t="inlineStr">
        <is>
          <t>Physical entry</t>
        </is>
      </c>
      <c r="C48" s="2" t="inlineStr">
        <is>
          <t>Oui</t>
        </is>
      </c>
      <c r="D48" s="2" t="inlineStr">
        <is>
          <t>Traitement des risques R12</t>
        </is>
      </c>
      <c r="E48" s="2" t="inlineStr">
        <is>
          <t>Partiel</t>
        </is>
      </c>
      <c r="F48" s="2" t="inlineStr"/>
    </row>
    <row r="49">
      <c r="A49" s="2" t="inlineStr">
        <is>
          <t>7.3</t>
        </is>
      </c>
      <c r="B49" s="2" t="inlineStr">
        <is>
          <t>Securing offices, rooms and facilities</t>
        </is>
      </c>
      <c r="C49" s="2" t="inlineStr">
        <is>
          <t>Oui</t>
        </is>
      </c>
      <c r="D49" s="2" t="inlineStr">
        <is>
          <t>Traitement des risques R12</t>
        </is>
      </c>
      <c r="E49" s="2" t="inlineStr">
        <is>
          <t>Partiel</t>
        </is>
      </c>
      <c r="F49" s="2" t="inlineStr"/>
    </row>
    <row r="50">
      <c r="A50" s="2" t="inlineStr">
        <is>
          <t>7.4</t>
        </is>
      </c>
      <c r="B50" s="2" t="inlineStr">
        <is>
          <t>Physical security monitoring</t>
        </is>
      </c>
      <c r="C50" s="2" t="inlineStr">
        <is>
          <t>Oui</t>
        </is>
      </c>
      <c r="D50" s="2" t="inlineStr">
        <is>
          <t>Traitement des risques R12</t>
        </is>
      </c>
      <c r="E50" s="2" t="inlineStr">
        <is>
          <t>Partiel</t>
        </is>
      </c>
      <c r="F50" s="2" t="inlineStr"/>
    </row>
    <row r="51">
      <c r="A51" s="2" t="inlineStr">
        <is>
          <t>7.5</t>
        </is>
      </c>
      <c r="B51" s="2" t="inlineStr">
        <is>
          <t>Protecting against physical and environmental threats</t>
        </is>
      </c>
      <c r="C51" s="2" t="inlineStr">
        <is>
          <t>Oui</t>
        </is>
      </c>
      <c r="D51" s="2" t="inlineStr">
        <is>
          <t>Traitement des risques R02, R06</t>
        </is>
      </c>
      <c r="E51" s="2" t="inlineStr">
        <is>
          <t>Partiel</t>
        </is>
      </c>
      <c r="F51" s="2" t="inlineStr"/>
    </row>
    <row r="52">
      <c r="A52" s="2" t="inlineStr">
        <is>
          <t>7.6</t>
        </is>
      </c>
      <c r="B52" s="2" t="inlineStr">
        <is>
          <t>Working in secure areas</t>
        </is>
      </c>
      <c r="C52" s="2" t="inlineStr">
        <is>
          <t>Non</t>
        </is>
      </c>
      <c r="D52" s="2" t="inlineStr">
        <is>
          <t>Exclue : aucune zone sécurisée sur site, l'hébergement du site est externalisé (risque traité via 5.19-5.23). À réévaluer si un serveur local est installé.</t>
        </is>
      </c>
      <c r="E52" s="2" t="inlineStr">
        <is>
          <t>Non applicable</t>
        </is>
      </c>
      <c r="F52" s="2" t="inlineStr"/>
    </row>
    <row r="53">
      <c r="A53" s="2" t="inlineStr">
        <is>
          <t>7.7</t>
        </is>
      </c>
      <c r="B53" s="2" t="inlineStr">
        <is>
          <t>Clear desk and clear screen</t>
        </is>
      </c>
      <c r="C53" s="2" t="inlineStr">
        <is>
          <t>Oui</t>
        </is>
      </c>
      <c r="D53" s="2" t="inlineStr">
        <is>
          <t>Traitement des risques R03, R12</t>
        </is>
      </c>
      <c r="E53" s="2" t="inlineStr">
        <is>
          <t>Non mis en oeuvre</t>
        </is>
      </c>
      <c r="F53" s="2" t="inlineStr"/>
    </row>
    <row r="54">
      <c r="A54" s="2" t="inlineStr">
        <is>
          <t>7.8</t>
        </is>
      </c>
      <c r="B54" s="2" t="inlineStr">
        <is>
          <t>Equipment siting and protection</t>
        </is>
      </c>
      <c r="C54" s="2" t="inlineStr">
        <is>
          <t>Oui</t>
        </is>
      </c>
      <c r="D54" s="2" t="inlineStr">
        <is>
          <t>Traitement des risques R06</t>
        </is>
      </c>
      <c r="E54" s="2" t="inlineStr">
        <is>
          <t>Partiel</t>
        </is>
      </c>
      <c r="F54" s="2" t="inlineStr"/>
    </row>
    <row r="55">
      <c r="A55" s="2" t="inlineStr">
        <is>
          <t>7.9</t>
        </is>
      </c>
      <c r="B55" s="2" t="inlineStr">
        <is>
          <t>Security of assets off-premises</t>
        </is>
      </c>
      <c r="C55" s="2" t="inlineStr">
        <is>
          <t>Oui</t>
        </is>
      </c>
      <c r="D55" s="2" t="inlineStr">
        <is>
          <t>Traitement des risques R12</t>
        </is>
      </c>
      <c r="E55" s="2" t="inlineStr">
        <is>
          <t>Partiel</t>
        </is>
      </c>
      <c r="F55" s="2" t="inlineStr"/>
    </row>
    <row r="56">
      <c r="A56" s="2" t="inlineStr">
        <is>
          <t>7.10</t>
        </is>
      </c>
      <c r="B56" s="2" t="inlineStr">
        <is>
          <t>Storage media</t>
        </is>
      </c>
      <c r="C56" s="2" t="inlineStr">
        <is>
          <t>Oui</t>
        </is>
      </c>
      <c r="D56" s="2" t="inlineStr">
        <is>
          <t>Traitement des risques R02, R12</t>
        </is>
      </c>
      <c r="E56" s="2" t="inlineStr">
        <is>
          <t>Non mis en oeuvre</t>
        </is>
      </c>
      <c r="F56" s="2" t="inlineStr"/>
    </row>
    <row r="57">
      <c r="A57" s="2" t="inlineStr">
        <is>
          <t>7.11</t>
        </is>
      </c>
      <c r="B57" s="2" t="inlineStr">
        <is>
          <t>Supporting utilities</t>
        </is>
      </c>
      <c r="C57" s="2" t="inlineStr">
        <is>
          <t>Oui</t>
        </is>
      </c>
      <c r="D57" s="2" t="inlineStr">
        <is>
          <t>Traitement des risques R06</t>
        </is>
      </c>
      <c r="E57" s="2" t="inlineStr">
        <is>
          <t>Partiel</t>
        </is>
      </c>
      <c r="F57" s="2" t="inlineStr"/>
    </row>
    <row r="58">
      <c r="A58" s="2" t="inlineStr">
        <is>
          <t>7.12</t>
        </is>
      </c>
      <c r="B58" s="2" t="inlineStr">
        <is>
          <t>Cabling security</t>
        </is>
      </c>
      <c r="C58" s="2" t="inlineStr">
        <is>
          <t>Oui</t>
        </is>
      </c>
      <c r="D58" s="2" t="inlineStr">
        <is>
          <t>Bonne pratique de base (socle)</t>
        </is>
      </c>
      <c r="E58" s="2" t="inlineStr">
        <is>
          <t>Partiel</t>
        </is>
      </c>
      <c r="F58" s="2" t="inlineStr"/>
    </row>
    <row r="59">
      <c r="A59" s="2" t="inlineStr">
        <is>
          <t>7.13</t>
        </is>
      </c>
      <c r="B59" s="2" t="inlineStr">
        <is>
          <t>Equipment maintenance</t>
        </is>
      </c>
      <c r="C59" s="2" t="inlineStr">
        <is>
          <t>Oui</t>
        </is>
      </c>
      <c r="D59" s="2" t="inlineStr">
        <is>
          <t>Traitement des risques R06</t>
        </is>
      </c>
      <c r="E59" s="2" t="inlineStr">
        <is>
          <t>Partiel</t>
        </is>
      </c>
      <c r="F59" s="2" t="inlineStr"/>
    </row>
    <row r="60">
      <c r="A60" s="2" t="inlineStr">
        <is>
          <t>7.14</t>
        </is>
      </c>
      <c r="B60" s="2" t="inlineStr">
        <is>
          <t>Secure disposal or re-use of equipment</t>
        </is>
      </c>
      <c r="C60" s="2" t="inlineStr">
        <is>
          <t>Oui</t>
        </is>
      </c>
      <c r="D60" s="2" t="inlineStr">
        <is>
          <t>Traitement des risques R03</t>
        </is>
      </c>
      <c r="E60" s="2" t="inlineStr">
        <is>
          <t>Non mis en oeuvre</t>
        </is>
      </c>
      <c r="F60" s="2" t="inlineStr"/>
    </row>
    <row r="61">
      <c r="A61" s="2" t="inlineStr">
        <is>
          <t>8.1</t>
        </is>
      </c>
      <c r="B61" s="2" t="inlineStr">
        <is>
          <t>User endpoint devices</t>
        </is>
      </c>
      <c r="C61" s="2" t="inlineStr">
        <is>
          <t>Oui</t>
        </is>
      </c>
      <c r="D61" s="2" t="inlineStr">
        <is>
          <t>Traitement des risques R02, R12</t>
        </is>
      </c>
      <c r="E61" s="2" t="inlineStr">
        <is>
          <t>Partiel</t>
        </is>
      </c>
      <c r="F61" s="2" t="inlineStr">
        <is>
          <t>A09</t>
        </is>
      </c>
    </row>
    <row r="62">
      <c r="A62" s="2" t="inlineStr">
        <is>
          <t>8.2</t>
        </is>
      </c>
      <c r="B62" s="2" t="inlineStr">
        <is>
          <t>Privileged access rights</t>
        </is>
      </c>
      <c r="C62" s="2" t="inlineStr">
        <is>
          <t>Oui</t>
        </is>
      </c>
      <c r="D62" s="2" t="inlineStr">
        <is>
          <t>Traitement des risques R02, R05</t>
        </is>
      </c>
      <c r="E62" s="2" t="inlineStr">
        <is>
          <t>Non mis en oeuvre</t>
        </is>
      </c>
      <c r="F62" s="2" t="inlineStr">
        <is>
          <t>A08</t>
        </is>
      </c>
    </row>
    <row r="63">
      <c r="A63" s="2" t="inlineStr">
        <is>
          <t>8.3</t>
        </is>
      </c>
      <c r="B63" s="2" t="inlineStr">
        <is>
          <t>Information access restriction</t>
        </is>
      </c>
      <c r="C63" s="2" t="inlineStr">
        <is>
          <t>Oui</t>
        </is>
      </c>
      <c r="D63" s="2" t="inlineStr">
        <is>
          <t>Traitement des risques R03</t>
        </is>
      </c>
      <c r="E63" s="2" t="inlineStr">
        <is>
          <t>Partiel</t>
        </is>
      </c>
      <c r="F63" s="2" t="inlineStr"/>
    </row>
    <row r="64">
      <c r="A64" s="2" t="inlineStr">
        <is>
          <t>8.4</t>
        </is>
      </c>
      <c r="B64" s="2" t="inlineStr">
        <is>
          <t>Access to source code</t>
        </is>
      </c>
      <c r="C64" s="2" t="inlineStr">
        <is>
          <t>Oui</t>
        </is>
      </c>
      <c r="D64" s="2" t="inlineStr">
        <is>
          <t>Traitement des risques R04, R08</t>
        </is>
      </c>
      <c r="E64" s="2" t="inlineStr">
        <is>
          <t>Partiel</t>
        </is>
      </c>
      <c r="F64" s="2" t="inlineStr">
        <is>
          <t>A02</t>
        </is>
      </c>
    </row>
    <row r="65">
      <c r="A65" s="2" t="inlineStr">
        <is>
          <t>8.5</t>
        </is>
      </c>
      <c r="B65" s="2" t="inlineStr">
        <is>
          <t>Secure authentication</t>
        </is>
      </c>
      <c r="C65" s="2" t="inlineStr">
        <is>
          <t>Oui</t>
        </is>
      </c>
      <c r="D65" s="2" t="inlineStr">
        <is>
          <t>Traitement des risques R01, R05</t>
        </is>
      </c>
      <c r="E65" s="2" t="inlineStr">
        <is>
          <t>Partiel</t>
        </is>
      </c>
      <c r="F65" s="2" t="inlineStr">
        <is>
          <t>A01, A19</t>
        </is>
      </c>
    </row>
    <row r="66">
      <c r="A66" s="2" t="inlineStr">
        <is>
          <t>8.6</t>
        </is>
      </c>
      <c r="B66" s="2" t="inlineStr">
        <is>
          <t>Capacity management</t>
        </is>
      </c>
      <c r="C66" s="2" t="inlineStr">
        <is>
          <t>Oui</t>
        </is>
      </c>
      <c r="D66" s="2" t="inlineStr">
        <is>
          <t>Traitement des risques R06</t>
        </is>
      </c>
      <c r="E66" s="2" t="inlineStr">
        <is>
          <t>Partiel</t>
        </is>
      </c>
      <c r="F66" s="2" t="inlineStr"/>
    </row>
    <row r="67">
      <c r="A67" s="2" t="inlineStr">
        <is>
          <t>8.7</t>
        </is>
      </c>
      <c r="B67" s="2" t="inlineStr">
        <is>
          <t>Protection against malware</t>
        </is>
      </c>
      <c r="C67" s="2" t="inlineStr">
        <is>
          <t>Oui</t>
        </is>
      </c>
      <c r="D67" s="2" t="inlineStr">
        <is>
          <t>Traitement des risques R02</t>
        </is>
      </c>
      <c r="E67" s="2" t="inlineStr">
        <is>
          <t>Partiel</t>
        </is>
      </c>
      <c r="F67" s="2" t="inlineStr">
        <is>
          <t>A09</t>
        </is>
      </c>
    </row>
    <row r="68">
      <c r="A68" s="2" t="inlineStr">
        <is>
          <t>8.8</t>
        </is>
      </c>
      <c r="B68" s="2" t="inlineStr">
        <is>
          <t>Management of technical vulnerabilities</t>
        </is>
      </c>
      <c r="C68" s="2" t="inlineStr">
        <is>
          <t>Oui</t>
        </is>
      </c>
      <c r="D68" s="2" t="inlineStr">
        <is>
          <t>Traitement des risques R02, R03, R08</t>
        </is>
      </c>
      <c r="E68" s="2" t="inlineStr">
        <is>
          <t>Partiel</t>
        </is>
      </c>
      <c r="F68" s="2" t="inlineStr">
        <is>
          <t>A05, A17</t>
        </is>
      </c>
    </row>
    <row r="69">
      <c r="A69" s="2" t="inlineStr">
        <is>
          <t>8.9</t>
        </is>
      </c>
      <c r="B69" s="2" t="inlineStr">
        <is>
          <t>Configuration management</t>
        </is>
      </c>
      <c r="C69" s="2" t="inlineStr">
        <is>
          <t>Oui</t>
        </is>
      </c>
      <c r="D69" s="2" t="inlineStr">
        <is>
          <t>Traitement des risques R08, R10</t>
        </is>
      </c>
      <c r="E69" s="2" t="inlineStr">
        <is>
          <t>Non mis en oeuvre</t>
        </is>
      </c>
      <c r="F69" s="2" t="inlineStr">
        <is>
          <t>A05</t>
        </is>
      </c>
    </row>
    <row r="70">
      <c r="A70" s="2" t="inlineStr">
        <is>
          <t>8.10</t>
        </is>
      </c>
      <c r="B70" s="2" t="inlineStr">
        <is>
          <t>Information deletion</t>
        </is>
      </c>
      <c r="C70" s="2" t="inlineStr">
        <is>
          <t>Oui</t>
        </is>
      </c>
      <c r="D70" s="2" t="inlineStr">
        <is>
          <t>Traitement des risques R03, R09</t>
        </is>
      </c>
      <c r="E70" s="2" t="inlineStr">
        <is>
          <t>Non mis en oeuvre</t>
        </is>
      </c>
      <c r="F70" s="2" t="inlineStr">
        <is>
          <t>A15</t>
        </is>
      </c>
    </row>
    <row r="71">
      <c r="A71" s="2" t="inlineStr">
        <is>
          <t>8.11</t>
        </is>
      </c>
      <c r="B71" s="2" t="inlineStr">
        <is>
          <t>Data masking</t>
        </is>
      </c>
      <c r="C71" s="2" t="inlineStr">
        <is>
          <t>Oui</t>
        </is>
      </c>
      <c r="D71" s="2" t="inlineStr">
        <is>
          <t>Traitement des risques R03, R09 ; minimisation (loi 09-08, art. 3). Exclusion initialement envisagée puis écartée : des données réelles sont utilisées en test (8.33).</t>
        </is>
      </c>
      <c r="E71" s="2" t="inlineStr">
        <is>
          <t>Non mis en oeuvre</t>
        </is>
      </c>
      <c r="F71" s="2" t="inlineStr">
        <is>
          <t>A15</t>
        </is>
      </c>
    </row>
    <row r="72">
      <c r="A72" s="2" t="inlineStr">
        <is>
          <t>8.12</t>
        </is>
      </c>
      <c r="B72" s="2" t="inlineStr">
        <is>
          <t>Data leakage prevention</t>
        </is>
      </c>
      <c r="C72" s="2" t="inlineStr">
        <is>
          <t>Oui</t>
        </is>
      </c>
      <c r="D72" s="2" t="inlineStr">
        <is>
          <t>Traitement des risques R03</t>
        </is>
      </c>
      <c r="E72" s="2" t="inlineStr">
        <is>
          <t>Non mis en oeuvre</t>
        </is>
      </c>
      <c r="F72" s="2" t="inlineStr"/>
    </row>
    <row r="73">
      <c r="A73" s="2" t="inlineStr">
        <is>
          <t>8.13</t>
        </is>
      </c>
      <c r="B73" s="2" t="inlineStr">
        <is>
          <t>Information backup</t>
        </is>
      </c>
      <c r="C73" s="2" t="inlineStr">
        <is>
          <t>Oui</t>
        </is>
      </c>
      <c r="D73" s="2" t="inlineStr">
        <is>
          <t>Traitement des risques R02, R06</t>
        </is>
      </c>
      <c r="E73" s="2" t="inlineStr">
        <is>
          <t>Partiel</t>
        </is>
      </c>
      <c r="F73" s="2" t="inlineStr">
        <is>
          <t>A04</t>
        </is>
      </c>
    </row>
    <row r="74">
      <c r="A74" s="2" t="inlineStr">
        <is>
          <t>8.14</t>
        </is>
      </c>
      <c r="B74" s="2" t="inlineStr">
        <is>
          <t>Redundancy of information processing facilities</t>
        </is>
      </c>
      <c r="C74" s="2" t="inlineStr">
        <is>
          <t>Oui</t>
        </is>
      </c>
      <c r="D74" s="2" t="inlineStr">
        <is>
          <t>Traitement des risques R06</t>
        </is>
      </c>
      <c r="E74" s="2" t="inlineStr">
        <is>
          <t>Partiel</t>
        </is>
      </c>
      <c r="F74" s="2" t="inlineStr"/>
    </row>
    <row r="75">
      <c r="A75" s="2" t="inlineStr">
        <is>
          <t>8.15</t>
        </is>
      </c>
      <c r="B75" s="2" t="inlineStr">
        <is>
          <t>Logging</t>
        </is>
      </c>
      <c r="C75" s="2" t="inlineStr">
        <is>
          <t>Oui</t>
        </is>
      </c>
      <c r="D75" s="2" t="inlineStr">
        <is>
          <t>Traitement des risques R01, R03, R05</t>
        </is>
      </c>
      <c r="E75" s="2" t="inlineStr">
        <is>
          <t>Partiel</t>
        </is>
      </c>
      <c r="F75" s="2" t="inlineStr">
        <is>
          <t>A18</t>
        </is>
      </c>
    </row>
    <row r="76">
      <c r="A76" s="2" t="inlineStr">
        <is>
          <t>8.16</t>
        </is>
      </c>
      <c r="B76" s="2" t="inlineStr">
        <is>
          <t>Monitoring activities</t>
        </is>
      </c>
      <c r="C76" s="2" t="inlineStr">
        <is>
          <t>Oui</t>
        </is>
      </c>
      <c r="D76" s="2" t="inlineStr">
        <is>
          <t>Traitement des risques R01, R08</t>
        </is>
      </c>
      <c r="E76" s="2" t="inlineStr">
        <is>
          <t>Non mis en oeuvre</t>
        </is>
      </c>
      <c r="F76" s="2" t="inlineStr">
        <is>
          <t>A18</t>
        </is>
      </c>
    </row>
    <row r="77">
      <c r="A77" s="2" t="inlineStr">
        <is>
          <t>8.17</t>
        </is>
      </c>
      <c r="B77" s="2" t="inlineStr">
        <is>
          <t>Clock synchronization</t>
        </is>
      </c>
      <c r="C77" s="2" t="inlineStr">
        <is>
          <t>Oui</t>
        </is>
      </c>
      <c r="D77" s="2" t="inlineStr">
        <is>
          <t>Bonne pratique de base (socle)</t>
        </is>
      </c>
      <c r="E77" s="2" t="inlineStr">
        <is>
          <t>Mis en oeuvre</t>
        </is>
      </c>
      <c r="F77" s="2" t="inlineStr"/>
    </row>
    <row r="78">
      <c r="A78" s="2" t="inlineStr">
        <is>
          <t>8.18</t>
        </is>
      </c>
      <c r="B78" s="2" t="inlineStr">
        <is>
          <t>Use of privileged utility programs</t>
        </is>
      </c>
      <c r="C78" s="2" t="inlineStr">
        <is>
          <t>Oui</t>
        </is>
      </c>
      <c r="D78" s="2" t="inlineStr">
        <is>
          <t>Traitement des risques R02</t>
        </is>
      </c>
      <c r="E78" s="2" t="inlineStr">
        <is>
          <t>Partiel</t>
        </is>
      </c>
      <c r="F78" s="2" t="inlineStr"/>
    </row>
    <row r="79">
      <c r="A79" s="2" t="inlineStr">
        <is>
          <t>8.19</t>
        </is>
      </c>
      <c r="B79" s="2" t="inlineStr">
        <is>
          <t>Installation of software on operational systems</t>
        </is>
      </c>
      <c r="C79" s="2" t="inlineStr">
        <is>
          <t>Oui</t>
        </is>
      </c>
      <c r="D79" s="2" t="inlineStr">
        <is>
          <t>Traitement des risques R02</t>
        </is>
      </c>
      <c r="E79" s="2" t="inlineStr">
        <is>
          <t>Non mis en oeuvre</t>
        </is>
      </c>
      <c r="F79" s="2" t="inlineStr"/>
    </row>
    <row r="80">
      <c r="A80" s="2" t="inlineStr">
        <is>
          <t>8.20</t>
        </is>
      </c>
      <c r="B80" s="2" t="inlineStr">
        <is>
          <t>Networks security</t>
        </is>
      </c>
      <c r="C80" s="2" t="inlineStr">
        <is>
          <t>Oui</t>
        </is>
      </c>
      <c r="D80" s="2" t="inlineStr">
        <is>
          <t>Traitement des risques R10</t>
        </is>
      </c>
      <c r="E80" s="2" t="inlineStr">
        <is>
          <t>Partiel</t>
        </is>
      </c>
      <c r="F80" s="2" t="inlineStr">
        <is>
          <t>A06</t>
        </is>
      </c>
    </row>
    <row r="81">
      <c r="A81" s="2" t="inlineStr">
        <is>
          <t>8.21</t>
        </is>
      </c>
      <c r="B81" s="2" t="inlineStr">
        <is>
          <t>Security of network services</t>
        </is>
      </c>
      <c r="C81" s="2" t="inlineStr">
        <is>
          <t>Oui</t>
        </is>
      </c>
      <c r="D81" s="2" t="inlineStr">
        <is>
          <t>Traitement des risques R08</t>
        </is>
      </c>
      <c r="E81" s="2" t="inlineStr">
        <is>
          <t>Partiel</t>
        </is>
      </c>
      <c r="F81" s="2" t="inlineStr">
        <is>
          <t>A23</t>
        </is>
      </c>
    </row>
    <row r="82">
      <c r="A82" s="2" t="inlineStr">
        <is>
          <t>8.22</t>
        </is>
      </c>
      <c r="B82" s="2" t="inlineStr">
        <is>
          <t>Segregation of networks</t>
        </is>
      </c>
      <c r="C82" s="2" t="inlineStr">
        <is>
          <t>Oui</t>
        </is>
      </c>
      <c r="D82" s="2" t="inlineStr">
        <is>
          <t>Traitement des risques R10</t>
        </is>
      </c>
      <c r="E82" s="2" t="inlineStr">
        <is>
          <t>Non mis en oeuvre</t>
        </is>
      </c>
      <c r="F82" s="2" t="inlineStr">
        <is>
          <t>A06</t>
        </is>
      </c>
    </row>
    <row r="83">
      <c r="A83" s="2" t="inlineStr">
        <is>
          <t>8.23</t>
        </is>
      </c>
      <c r="B83" s="2" t="inlineStr">
        <is>
          <t>Web filtering</t>
        </is>
      </c>
      <c r="C83" s="2" t="inlineStr">
        <is>
          <t>Oui</t>
        </is>
      </c>
      <c r="D83" s="2" t="inlineStr">
        <is>
          <t>Traitement des risques R02</t>
        </is>
      </c>
      <c r="E83" s="2" t="inlineStr">
        <is>
          <t>Non mis en oeuvre</t>
        </is>
      </c>
      <c r="F83" s="2" t="inlineStr"/>
    </row>
    <row r="84">
      <c r="A84" s="2" t="inlineStr">
        <is>
          <t>8.24</t>
        </is>
      </c>
      <c r="B84" s="2" t="inlineStr">
        <is>
          <t>Use of cryptography</t>
        </is>
      </c>
      <c r="C84" s="2" t="inlineStr">
        <is>
          <t>Oui</t>
        </is>
      </c>
      <c r="D84" s="2" t="inlineStr">
        <is>
          <t>Traitement des risques R03, R04, R12</t>
        </is>
      </c>
      <c r="E84" s="2" t="inlineStr">
        <is>
          <t>Partiel</t>
        </is>
      </c>
      <c r="F84" s="2" t="inlineStr">
        <is>
          <t>A02, A09</t>
        </is>
      </c>
    </row>
    <row r="85">
      <c r="A85" s="2" t="inlineStr">
        <is>
          <t>8.25</t>
        </is>
      </c>
      <c r="B85" s="2" t="inlineStr">
        <is>
          <t>Secure development life cycle</t>
        </is>
      </c>
      <c r="C85" s="2" t="inlineStr">
        <is>
          <t>Oui</t>
        </is>
      </c>
      <c r="D85" s="2" t="inlineStr">
        <is>
          <t>Traitement des risques R03, R08</t>
        </is>
      </c>
      <c r="E85" s="2" t="inlineStr">
        <is>
          <t>Non mis en oeuvre</t>
        </is>
      </c>
      <c r="F85" s="2" t="inlineStr">
        <is>
          <t>A21</t>
        </is>
      </c>
    </row>
    <row r="86">
      <c r="A86" s="2" t="inlineStr">
        <is>
          <t>8.26</t>
        </is>
      </c>
      <c r="B86" s="2" t="inlineStr">
        <is>
          <t>Application security requirements</t>
        </is>
      </c>
      <c r="C86" s="2" t="inlineStr">
        <is>
          <t>Oui</t>
        </is>
      </c>
      <c r="D86" s="2" t="inlineStr">
        <is>
          <t>Traitement des risques R03, R08</t>
        </is>
      </c>
      <c r="E86" s="2" t="inlineStr">
        <is>
          <t>Non mis en oeuvre</t>
        </is>
      </c>
      <c r="F86" s="2" t="inlineStr"/>
    </row>
    <row r="87">
      <c r="A87" s="2" t="inlineStr">
        <is>
          <t>8.27</t>
        </is>
      </c>
      <c r="B87" s="2" t="inlineStr">
        <is>
          <t>Secure system architecture and engineering principles</t>
        </is>
      </c>
      <c r="C87" s="2" t="inlineStr">
        <is>
          <t>Oui</t>
        </is>
      </c>
      <c r="D87" s="2" t="inlineStr">
        <is>
          <t>Traitement des risques R03</t>
        </is>
      </c>
      <c r="E87" s="2" t="inlineStr">
        <is>
          <t>Partiel</t>
        </is>
      </c>
      <c r="F87" s="2" t="inlineStr"/>
    </row>
    <row r="88">
      <c r="A88" s="2" t="inlineStr">
        <is>
          <t>8.28</t>
        </is>
      </c>
      <c r="B88" s="2" t="inlineStr">
        <is>
          <t>Secure coding</t>
        </is>
      </c>
      <c r="C88" s="2" t="inlineStr">
        <is>
          <t>Oui</t>
        </is>
      </c>
      <c r="D88" s="2" t="inlineStr">
        <is>
          <t>Traitement des risques R03, R08</t>
        </is>
      </c>
      <c r="E88" s="2" t="inlineStr">
        <is>
          <t>Partiel</t>
        </is>
      </c>
      <c r="F88" s="2" t="inlineStr">
        <is>
          <t>A17</t>
        </is>
      </c>
    </row>
    <row r="89">
      <c r="A89" s="2" t="inlineStr">
        <is>
          <t>8.29</t>
        </is>
      </c>
      <c r="B89" s="2" t="inlineStr">
        <is>
          <t>Security testing in development and acceptance</t>
        </is>
      </c>
      <c r="C89" s="2" t="inlineStr">
        <is>
          <t>Oui</t>
        </is>
      </c>
      <c r="D89" s="2" t="inlineStr">
        <is>
          <t>Traitement des risques R03, R08</t>
        </is>
      </c>
      <c r="E89" s="2" t="inlineStr">
        <is>
          <t>Non mis en oeuvre</t>
        </is>
      </c>
      <c r="F89" s="2" t="inlineStr">
        <is>
          <t>A17</t>
        </is>
      </c>
    </row>
    <row r="90">
      <c r="A90" s="2" t="inlineStr">
        <is>
          <t>8.30</t>
        </is>
      </c>
      <c r="B90" s="2" t="inlineStr">
        <is>
          <t>Outsourced development</t>
        </is>
      </c>
      <c r="C90" s="2" t="inlineStr">
        <is>
          <t>Oui</t>
        </is>
      </c>
      <c r="D90" s="2" t="inlineStr">
        <is>
          <t>Traitement des risques R03, R04, R11</t>
        </is>
      </c>
      <c r="E90" s="2" t="inlineStr">
        <is>
          <t>Non mis en oeuvre</t>
        </is>
      </c>
      <c r="F90" s="2" t="inlineStr">
        <is>
          <t>A14</t>
        </is>
      </c>
    </row>
    <row r="91">
      <c r="A91" s="2" t="inlineStr">
        <is>
          <t>8.31</t>
        </is>
      </c>
      <c r="B91" s="2" t="inlineStr">
        <is>
          <t>Separation of development, test and production environments</t>
        </is>
      </c>
      <c r="C91" s="2" t="inlineStr">
        <is>
          <t>Oui</t>
        </is>
      </c>
      <c r="D91" s="2" t="inlineStr">
        <is>
          <t>Traitement des risques R08</t>
        </is>
      </c>
      <c r="E91" s="2" t="inlineStr">
        <is>
          <t>Non mis en oeuvre</t>
        </is>
      </c>
      <c r="F91" s="2" t="inlineStr">
        <is>
          <t>A21</t>
        </is>
      </c>
    </row>
    <row r="92">
      <c r="A92" s="2" t="inlineStr">
        <is>
          <t>8.32</t>
        </is>
      </c>
      <c r="B92" s="2" t="inlineStr">
        <is>
          <t>Change management</t>
        </is>
      </c>
      <c r="C92" s="2" t="inlineStr">
        <is>
          <t>Oui</t>
        </is>
      </c>
      <c r="D92" s="2" t="inlineStr">
        <is>
          <t>Traitement des risques R06, R08</t>
        </is>
      </c>
      <c r="E92" s="2" t="inlineStr">
        <is>
          <t>Non mis en oeuvre</t>
        </is>
      </c>
      <c r="F92" s="2" t="inlineStr">
        <is>
          <t>A21</t>
        </is>
      </c>
    </row>
    <row r="93">
      <c r="A93" s="2" t="inlineStr">
        <is>
          <t>8.33</t>
        </is>
      </c>
      <c r="B93" s="2" t="inlineStr">
        <is>
          <t>Test information</t>
        </is>
      </c>
      <c r="C93" s="2" t="inlineStr">
        <is>
          <t>Oui</t>
        </is>
      </c>
      <c r="D93" s="2" t="inlineStr">
        <is>
          <t>Traitement des risques R03</t>
        </is>
      </c>
      <c r="E93" s="2" t="inlineStr">
        <is>
          <t>Partiel</t>
        </is>
      </c>
      <c r="F93" s="2" t="inlineStr"/>
    </row>
    <row r="94">
      <c r="A94" s="2" t="inlineStr">
        <is>
          <t>8.34</t>
        </is>
      </c>
      <c r="B94" s="2" t="inlineStr">
        <is>
          <t>Protection of information systems during audit testing</t>
        </is>
      </c>
      <c r="C94" s="2" t="inlineStr">
        <is>
          <t>Oui</t>
        </is>
      </c>
      <c r="D94" s="2" t="inlineStr">
        <is>
          <t>Bonne pratique de base (socle)</t>
        </is>
      </c>
      <c r="E94" s="2" t="inlineStr">
        <is>
          <t>Partiel</t>
        </is>
      </c>
      <c r="F94" s="2" t="inlineStr"/>
    </row>
  </sheetData>
  <autoFilter ref="A1:F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6" customWidth="1" min="4" max="4"/>
    <col width="10" customWidth="1" min="5" max="5"/>
  </cols>
  <sheetData>
    <row r="1">
      <c r="A1" s="1" t="inlineStr">
        <is>
          <t>Thème</t>
        </is>
      </c>
      <c r="B1" s="1" t="inlineStr">
        <is>
          <t>Mesures</t>
        </is>
      </c>
      <c r="C1" s="1" t="inlineStr">
        <is>
          <t>Applicables</t>
        </is>
      </c>
      <c r="D1" s="1" t="inlineStr">
        <is>
          <t>Maturité actuelle</t>
        </is>
      </c>
      <c r="E1" s="1" t="inlineStr">
        <is>
          <t>Cible</t>
        </is>
      </c>
    </row>
    <row r="2">
      <c r="A2" s="2" t="inlineStr">
        <is>
          <t>Organisationnel (5.1-5.37)</t>
        </is>
      </c>
      <c r="B2" s="2" t="n">
        <v>37</v>
      </c>
      <c r="C2" s="2" t="n">
        <v>37</v>
      </c>
      <c r="D2" s="2" t="n">
        <v>0.49</v>
      </c>
      <c r="E2" s="2" t="n">
        <v>2.41</v>
      </c>
    </row>
    <row r="3">
      <c r="A3" s="2" t="inlineStr">
        <is>
          <t>Humain (6.1-6.8)</t>
        </is>
      </c>
      <c r="B3" s="2" t="n">
        <v>8</v>
      </c>
      <c r="C3" s="2" t="n">
        <v>8</v>
      </c>
      <c r="D3" s="2" t="n">
        <v>0.62</v>
      </c>
      <c r="E3" s="2" t="n">
        <v>2.5</v>
      </c>
    </row>
    <row r="4">
      <c r="A4" s="2" t="inlineStr">
        <is>
          <t>Physique (7.1-7.14)</t>
        </is>
      </c>
      <c r="B4" s="2" t="n">
        <v>14</v>
      </c>
      <c r="C4" s="2" t="n">
        <v>13</v>
      </c>
      <c r="D4" s="2" t="n">
        <v>0.92</v>
      </c>
      <c r="E4" s="2" t="n">
        <v>1.92</v>
      </c>
    </row>
    <row r="5">
      <c r="A5" s="2" t="inlineStr">
        <is>
          <t>Technologique (8.1-8.34)</t>
        </is>
      </c>
      <c r="B5" s="2" t="n">
        <v>34</v>
      </c>
      <c r="C5" s="2" t="n">
        <v>34</v>
      </c>
      <c r="D5" s="2" t="n">
        <v>0.71</v>
      </c>
      <c r="E5" s="2" t="n">
        <v>2.29</v>
      </c>
    </row>
    <row r="6">
      <c r="A6" s="3" t="inlineStr">
        <is>
          <t>Global (pondéré)</t>
        </is>
      </c>
      <c r="B6" s="3">
        <f>SUM(B2:B5)</f>
        <v/>
      </c>
      <c r="C6" s="3">
        <f>SUM(C2:C5)</f>
        <v/>
      </c>
      <c r="D6" s="3">
        <f>ROUND(SUMPRODUCT(C2:C5,D2:D5)/SUM(C2:C5),2)</f>
        <v/>
      </c>
      <c r="E6" s="3">
        <f>ROUND(SUMPRODUCT(C2:C5,E2:E5)/SUM(C2:C5),2)</f>
        <v/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0" customWidth="1" min="2" max="2"/>
    <col width="26" customWidth="1" min="3" max="3"/>
    <col width="30" customWidth="1" min="4" max="4"/>
    <col width="8" customWidth="1" min="5" max="5"/>
    <col width="12" customWidth="1" min="6" max="6"/>
    <col width="7" customWidth="1" min="7" max="7"/>
    <col width="10" customWidth="1" min="8" max="8"/>
    <col width="18" customWidth="1" min="9" max="9"/>
    <col width="16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Risque</t>
        </is>
      </c>
      <c r="C1" s="1" t="inlineStr">
        <is>
          <t>Source</t>
        </is>
      </c>
      <c r="D1" s="1" t="inlineStr">
        <is>
          <t>Cible (VM / bien support)</t>
        </is>
      </c>
      <c r="E1" s="1" t="inlineStr">
        <is>
          <t>Gravité</t>
        </is>
      </c>
      <c r="F1" s="1" t="inlineStr">
        <is>
          <t>Vraisemblance</t>
        </is>
      </c>
      <c r="G1" s="1" t="inlineStr">
        <is>
          <t>Score</t>
        </is>
      </c>
      <c r="H1" s="1" t="inlineStr">
        <is>
          <t>Niveau</t>
        </is>
      </c>
      <c r="I1" s="1" t="inlineStr">
        <is>
          <t>Mesures Annexe A</t>
        </is>
      </c>
      <c r="J1" s="1" t="inlineStr">
        <is>
          <t>Actions</t>
        </is>
      </c>
      <c r="K1" s="1" t="inlineStr">
        <is>
          <t>G résiduelle</t>
        </is>
      </c>
      <c r="L1" s="1" t="inlineStr">
        <is>
          <t>V résiduelle</t>
        </is>
      </c>
      <c r="M1" s="1" t="inlineStr">
        <is>
          <t>Score résiduel</t>
        </is>
      </c>
      <c r="N1" s="1" t="inlineStr">
        <is>
          <t>Niveau résiduel</t>
        </is>
      </c>
    </row>
    <row r="2">
      <c r="A2" s="2" t="inlineStr">
        <is>
          <t>R01</t>
        </is>
      </c>
      <c r="B2" s="2" t="inlineStr">
        <is>
          <t>Prise de contrôle du compte Google de la gérance par hameçonnage</t>
        </is>
      </c>
      <c r="C2" s="2" t="inlineStr">
        <is>
          <t>SR1 Cybercriminel opportuniste</t>
        </is>
      </c>
      <c r="D2" s="2" t="inlineStr">
        <is>
          <t>VM2/VM3 - Comptes Google (Gmail, Drive)</t>
        </is>
      </c>
      <c r="E2" s="2" t="n">
        <v>4</v>
      </c>
      <c r="F2" s="2" t="n">
        <v>3</v>
      </c>
      <c r="G2" s="2" t="n">
        <v>12</v>
      </c>
      <c r="H2" s="2" t="inlineStr">
        <is>
          <t>Critique</t>
        </is>
      </c>
      <c r="I2" s="2" t="inlineStr">
        <is>
          <t>5.17, 5.23, 6.3, 8.5</t>
        </is>
      </c>
      <c r="J2" s="2" t="inlineStr">
        <is>
          <t>A01, A03, A12, A16, A18, A19</t>
        </is>
      </c>
      <c r="K2" s="2" t="n">
        <v>4</v>
      </c>
      <c r="L2" s="2" t="n">
        <v>1</v>
      </c>
      <c r="M2" s="2" t="n">
        <v>4</v>
      </c>
      <c r="N2" s="2" t="inlineStr">
        <is>
          <t>Modéré</t>
        </is>
      </c>
    </row>
    <row r="3">
      <c r="A3" s="2" t="inlineStr">
        <is>
          <t>R02</t>
        </is>
      </c>
      <c r="B3" s="2" t="inlineStr">
        <is>
          <t>Rançongiciel sur le poste comptable / partage de fichiers</t>
        </is>
      </c>
      <c r="C3" s="2" t="inlineStr">
        <is>
          <t>SR1 Cybercriminel opportuniste</t>
        </is>
      </c>
      <c r="D3" s="2" t="inlineStr">
        <is>
          <t>VM3 - PC comptable, logiciel de facturation</t>
        </is>
      </c>
      <c r="E3" s="2" t="n">
        <v>4</v>
      </c>
      <c r="F3" s="2" t="n">
        <v>3</v>
      </c>
      <c r="G3" s="2" t="n">
        <v>12</v>
      </c>
      <c r="H3" s="2" t="inlineStr">
        <is>
          <t>Critique</t>
        </is>
      </c>
      <c r="I3" s="2" t="inlineStr">
        <is>
          <t>8.1, 8.2, 8.7, 8.8, 8.13</t>
        </is>
      </c>
      <c r="J3" s="2" t="inlineStr">
        <is>
          <t>A04, A09, A12, A16, A20</t>
        </is>
      </c>
      <c r="K3" s="2" t="n">
        <v>3</v>
      </c>
      <c r="L3" s="2" t="n">
        <v>1</v>
      </c>
      <c r="M3" s="2" t="n">
        <v>3</v>
      </c>
      <c r="N3" s="2" t="inlineStr">
        <is>
          <t>Faible</t>
        </is>
      </c>
    </row>
    <row r="4">
      <c r="A4" s="2" t="inlineStr">
        <is>
          <t>R03</t>
        </is>
      </c>
      <c r="B4" s="2" t="inlineStr">
        <is>
          <t>Exfiltration de la base clients via une vulnérabilité du site PHP (injection SQL)</t>
        </is>
      </c>
      <c r="C4" s="2" t="inlineStr">
        <is>
          <t>SR1 Cybercriminel opportuniste / SR5 Concurrent</t>
        </is>
      </c>
      <c r="D4" s="2" t="inlineStr">
        <is>
          <t>VM1/VM2 - Site web + base MariaDB</t>
        </is>
      </c>
      <c r="E4" s="2" t="n">
        <v>3</v>
      </c>
      <c r="F4" s="2" t="n">
        <v>3</v>
      </c>
      <c r="G4" s="2" t="n">
        <v>9</v>
      </c>
      <c r="H4" s="2" t="inlineStr">
        <is>
          <t>Élevé</t>
        </is>
      </c>
      <c r="I4" s="2" t="inlineStr">
        <is>
          <t>8.8, 8.26, 8.28, 8.29</t>
        </is>
      </c>
      <c r="J4" s="2" t="inlineStr">
        <is>
          <t>A05, A16, A17, A18, A21, A23</t>
        </is>
      </c>
      <c r="K4" s="2" t="n">
        <v>3</v>
      </c>
      <c r="L4" s="2" t="n">
        <v>1</v>
      </c>
      <c r="M4" s="2" t="n">
        <v>3</v>
      </c>
      <c r="N4" s="2" t="inlineStr">
        <is>
          <t>Faible</t>
        </is>
      </c>
    </row>
    <row r="5">
      <c r="A5" s="2" t="inlineStr">
        <is>
          <t>R04</t>
        </is>
      </c>
      <c r="B5" s="2" t="inlineStr">
        <is>
          <t>Abus d'une clé d'API tierce exposée dans l'historique Git (« denial of wallet »)</t>
        </is>
      </c>
      <c r="C5" s="2" t="inlineStr">
        <is>
          <t>SR1 Cybercriminel opportuniste</t>
        </is>
      </c>
      <c r="D5" s="2" t="inlineStr">
        <is>
          <t>VM1 - Dépôt de code du site</t>
        </is>
      </c>
      <c r="E5" s="2" t="n">
        <v>2</v>
      </c>
      <c r="F5" s="2" t="n">
        <v>4</v>
      </c>
      <c r="G5" s="2" t="n">
        <v>8</v>
      </c>
      <c r="H5" s="2" t="inlineStr">
        <is>
          <t>Élevé</t>
        </is>
      </c>
      <c r="I5" s="2" t="inlineStr">
        <is>
          <t>8.4, 8.24, 8.30</t>
        </is>
      </c>
      <c r="J5" s="2" t="inlineStr">
        <is>
          <t>A02</t>
        </is>
      </c>
      <c r="K5" s="2" t="n">
        <v>2</v>
      </c>
      <c r="L5" s="2" t="n">
        <v>1</v>
      </c>
      <c r="M5" s="2" t="n">
        <v>2</v>
      </c>
      <c r="N5" s="2" t="inlineStr">
        <is>
          <t>Faible</t>
        </is>
      </c>
    </row>
    <row r="6">
      <c r="A6" s="2" t="inlineStr">
        <is>
          <t>R05</t>
        </is>
      </c>
      <c r="B6" s="2" t="inlineStr">
        <is>
          <t>Compromission du compte de l'hébergeur / du domaine (identifiants partagés, sans MFA)</t>
        </is>
      </c>
      <c r="C6" s="2" t="inlineStr">
        <is>
          <t>SR1 Cybercriminel / SR4 Ancien prestataire</t>
        </is>
      </c>
      <c r="D6" s="2" t="inlineStr">
        <is>
          <t>VM1 - Panneau d'hébergement, DNS</t>
        </is>
      </c>
      <c r="E6" s="2" t="n">
        <v>4</v>
      </c>
      <c r="F6" s="2" t="n">
        <v>2</v>
      </c>
      <c r="G6" s="2" t="n">
        <v>8</v>
      </c>
      <c r="H6" s="2" t="inlineStr">
        <is>
          <t>Élevé</t>
        </is>
      </c>
      <c r="I6" s="2" t="inlineStr">
        <is>
          <t>5.16, 5.17, 8.2, 8.5</t>
        </is>
      </c>
      <c r="J6" s="2" t="inlineStr">
        <is>
          <t>A01, A03, A08, A18</t>
        </is>
      </c>
      <c r="K6" s="2" t="n">
        <v>4</v>
      </c>
      <c r="L6" s="2" t="n">
        <v>1</v>
      </c>
      <c r="M6" s="2" t="n">
        <v>4</v>
      </c>
      <c r="N6" s="2" t="inlineStr">
        <is>
          <t>Modéré</t>
        </is>
      </c>
    </row>
    <row r="7">
      <c r="A7" s="2" t="inlineStr">
        <is>
          <t>R06</t>
        </is>
      </c>
      <c r="B7" s="2" t="inlineStr">
        <is>
          <t>Perte durable des données du site faute de sauvegarde exploitable</t>
        </is>
      </c>
      <c r="C7" s="2" t="inlineStr">
        <is>
          <t>Accident / erreur (hors sources intentionnelles EBIOS)</t>
        </is>
      </c>
      <c r="D7" s="2" t="inlineStr">
        <is>
          <t>VM1 - Base MariaDB, fichiers du site</t>
        </is>
      </c>
      <c r="E7" s="2" t="n">
        <v>3</v>
      </c>
      <c r="F7" s="2" t="n">
        <v>2</v>
      </c>
      <c r="G7" s="2" t="n">
        <v>6</v>
      </c>
      <c r="H7" s="2" t="inlineStr">
        <is>
          <t>Modéré</t>
        </is>
      </c>
      <c r="I7" s="2" t="inlineStr">
        <is>
          <t>5.30, 5.37, 8.13, 8.14</t>
        </is>
      </c>
      <c r="J7" s="2" t="inlineStr">
        <is>
          <t>A04, A20</t>
        </is>
      </c>
      <c r="K7" s="2" t="n">
        <v>3</v>
      </c>
      <c r="L7" s="2" t="n">
        <v>1</v>
      </c>
      <c r="M7" s="2" t="n">
        <v>3</v>
      </c>
      <c r="N7" s="2" t="inlineStr">
        <is>
          <t>Faible</t>
        </is>
      </c>
    </row>
    <row r="8">
      <c r="A8" s="2" t="inlineStr">
        <is>
          <t>R07</t>
        </is>
      </c>
      <c r="B8" s="2" t="inlineStr">
        <is>
          <t>Fraude au faux fournisseur / changement de RIB par email usurpé</t>
        </is>
      </c>
      <c r="C8" s="2" t="inlineStr">
        <is>
          <t>SR2 Fraudeur</t>
        </is>
      </c>
      <c r="D8" s="2" t="inlineStr">
        <is>
          <t>VM3 - Paiements fournisseurs</t>
        </is>
      </c>
      <c r="E8" s="2" t="n">
        <v>3</v>
      </c>
      <c r="F8" s="2" t="n">
        <v>3</v>
      </c>
      <c r="G8" s="2" t="n">
        <v>9</v>
      </c>
      <c r="H8" s="2" t="inlineStr">
        <is>
          <t>Élevé</t>
        </is>
      </c>
      <c r="I8" s="2" t="inlineStr">
        <is>
          <t>5.3, 5.14, 6.3</t>
        </is>
      </c>
      <c r="J8" s="2" t="inlineStr">
        <is>
          <t>A07, A12</t>
        </is>
      </c>
      <c r="K8" s="2" t="n">
        <v>3</v>
      </c>
      <c r="L8" s="2" t="n">
        <v>1</v>
      </c>
      <c r="M8" s="2" t="n">
        <v>3</v>
      </c>
      <c r="N8" s="2" t="inlineStr">
        <is>
          <t>Faible</t>
        </is>
      </c>
    </row>
    <row r="9">
      <c r="A9" s="2" t="inlineStr">
        <is>
          <t>R08</t>
        </is>
      </c>
      <c r="B9" s="2" t="inlineStr">
        <is>
          <t>Défiguration ou injection de contenu malveillant (XSS, SEO spam) sur le site</t>
        </is>
      </c>
      <c r="C9" s="2" t="inlineStr">
        <is>
          <t>SR3 Hacktiviste / défaceur</t>
        </is>
      </c>
      <c r="D9" s="2" t="inlineStr">
        <is>
          <t>VM4 - Site web, image de marque</t>
        </is>
      </c>
      <c r="E9" s="2" t="n">
        <v>2</v>
      </c>
      <c r="F9" s="2" t="n">
        <v>3</v>
      </c>
      <c r="G9" s="2" t="n">
        <v>6</v>
      </c>
      <c r="H9" s="2" t="inlineStr">
        <is>
          <t>Modéré</t>
        </is>
      </c>
      <c r="I9" s="2" t="inlineStr">
        <is>
          <t>8.9, 8.25, 8.28, 8.29</t>
        </is>
      </c>
      <c r="J9" s="2" t="inlineStr">
        <is>
          <t>A05, A17, A21, A23</t>
        </is>
      </c>
      <c r="K9" s="2" t="n">
        <v>2</v>
      </c>
      <c r="L9" s="2" t="n">
        <v>1</v>
      </c>
      <c r="M9" s="2" t="n">
        <v>2</v>
      </c>
      <c r="N9" s="2" t="inlineStr">
        <is>
          <t>Faible</t>
        </is>
      </c>
    </row>
    <row r="10">
      <c r="A10" s="2" t="inlineStr">
        <is>
          <t>R09</t>
        </is>
      </c>
      <c r="B10" s="2" t="inlineStr">
        <is>
          <t>Non-conformité à la loi 09-08 (absence de déclaration CNDP, transferts hors Maroc non encadrés)</t>
        </is>
      </c>
      <c r="C10" s="2" t="inlineStr">
        <is>
          <t>Exigence réglementaire (contrôle CNDP, plainte client)</t>
        </is>
      </c>
      <c r="D10" s="2" t="inlineStr">
        <is>
          <t>VM2 - Traitements de données clients/RH</t>
        </is>
      </c>
      <c r="E10" s="2" t="n">
        <v>3</v>
      </c>
      <c r="F10" s="2" t="n">
        <v>3</v>
      </c>
      <c r="G10" s="2" t="n">
        <v>9</v>
      </c>
      <c r="H10" s="2" t="inlineStr">
        <is>
          <t>Élevé</t>
        </is>
      </c>
      <c r="I10" s="2" t="inlineStr">
        <is>
          <t>5.20, 5.31, 5.34, 8.10, 8.11</t>
        </is>
      </c>
      <c r="J10" s="2" t="inlineStr">
        <is>
          <t>A10, A13, A14, A15, A19</t>
        </is>
      </c>
      <c r="K10" s="2" t="n">
        <v>2</v>
      </c>
      <c r="L10" s="2" t="n">
        <v>1</v>
      </c>
      <c r="M10" s="2" t="n">
        <v>2</v>
      </c>
      <c r="N10" s="2" t="inlineStr">
        <is>
          <t>Faible</t>
        </is>
      </c>
    </row>
    <row r="11">
      <c r="A11" s="2" t="inlineStr">
        <is>
          <t>R10</t>
        </is>
      </c>
      <c r="B11" s="2" t="inlineStr">
        <is>
          <t>Intrusion sur le réseau local via le Wi-Fi (clé partagée, box non durcie)</t>
        </is>
      </c>
      <c r="C11" s="2" t="inlineStr">
        <is>
          <t>SR4 Ancien employé / SR1 opportuniste à proximité</t>
        </is>
      </c>
      <c r="D11" s="2" t="inlineStr">
        <is>
          <t>Réseau local, PC bureau</t>
        </is>
      </c>
      <c r="E11" s="2" t="n">
        <v>2</v>
      </c>
      <c r="F11" s="2" t="n">
        <v>2</v>
      </c>
      <c r="G11" s="2" t="n">
        <v>4</v>
      </c>
      <c r="H11" s="2" t="inlineStr">
        <is>
          <t>Modéré</t>
        </is>
      </c>
      <c r="I11" s="2" t="inlineStr">
        <is>
          <t>8.9, 8.20, 8.22</t>
        </is>
      </c>
      <c r="J11" s="2" t="inlineStr">
        <is>
          <t>A06</t>
        </is>
      </c>
      <c r="K11" s="2" t="n">
        <v>2</v>
      </c>
      <c r="L11" s="2" t="n">
        <v>1</v>
      </c>
      <c r="M11" s="2" t="n">
        <v>2</v>
      </c>
      <c r="N11" s="2" t="inlineStr">
        <is>
          <t>Faible</t>
        </is>
      </c>
    </row>
    <row r="12">
      <c r="A12" s="2" t="inlineStr">
        <is>
          <t>R11</t>
        </is>
      </c>
      <c r="B12" s="2" t="inlineStr">
        <is>
          <t>Accès persistants d'anciens salariés ou prestataires</t>
        </is>
      </c>
      <c r="C12" s="2" t="inlineStr">
        <is>
          <t>SR4 Ancien employé / prestataire mécontent</t>
        </is>
      </c>
      <c r="D12" s="2" t="inlineStr">
        <is>
          <t>Comptes Google, back-office, hébergeur</t>
        </is>
      </c>
      <c r="E12" s="2" t="n">
        <v>3</v>
      </c>
      <c r="F12" s="2" t="n">
        <v>3</v>
      </c>
      <c r="G12" s="2" t="n">
        <v>9</v>
      </c>
      <c r="H12" s="2" t="inlineStr">
        <is>
          <t>Élevé</t>
        </is>
      </c>
      <c r="I12" s="2" t="inlineStr">
        <is>
          <t>5.11, 5.18, 6.5, 8.30</t>
        </is>
      </c>
      <c r="J12" s="2" t="inlineStr">
        <is>
          <t>A08, A11, A14, A19</t>
        </is>
      </c>
      <c r="K12" s="2" t="n">
        <v>3</v>
      </c>
      <c r="L12" s="2" t="n">
        <v>1</v>
      </c>
      <c r="M12" s="2" t="n">
        <v>3</v>
      </c>
      <c r="N12" s="2" t="inlineStr">
        <is>
          <t>Faible</t>
        </is>
      </c>
    </row>
    <row r="13">
      <c r="A13" s="2" t="inlineStr">
        <is>
          <t>R12</t>
        </is>
      </c>
      <c r="B13" s="2" t="inlineStr">
        <is>
          <t>Vol ou perte d'un PC portable / smartphone non chiffré contenant des données clients</t>
        </is>
      </c>
      <c r="C13" s="2" t="inlineStr">
        <is>
          <t>SR6 Voleur opportuniste</t>
        </is>
      </c>
      <c r="D13" s="2" t="inlineStr">
        <is>
          <t>VM2 - Terminaux mobiles</t>
        </is>
      </c>
      <c r="E13" s="2" t="n">
        <v>2</v>
      </c>
      <c r="F13" s="2" t="n">
        <v>3</v>
      </c>
      <c r="G13" s="2" t="n">
        <v>6</v>
      </c>
      <c r="H13" s="2" t="inlineStr">
        <is>
          <t>Modéré</t>
        </is>
      </c>
      <c r="I13" s="2" t="inlineStr">
        <is>
          <t>7.9, 8.1, 8.24</t>
        </is>
      </c>
      <c r="J13" s="2" t="inlineStr">
        <is>
          <t>A09</t>
        </is>
      </c>
      <c r="K13" s="2" t="n">
        <v>1</v>
      </c>
      <c r="L13" s="2" t="n">
        <v>3</v>
      </c>
      <c r="M13" s="2" t="n">
        <v>3</v>
      </c>
      <c r="N13" s="2" t="inlineStr">
        <is>
          <t>Faible</t>
        </is>
      </c>
    </row>
  </sheetData>
  <autoFilter ref="A1:N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70" customWidth="1" min="3" max="3"/>
    <col width="8" customWidth="1" min="4" max="4"/>
    <col width="22" customWidth="1" min="5" max="5"/>
    <col width="22" customWidth="1" min="6" max="6"/>
    <col width="14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Horizon</t>
        </is>
      </c>
      <c r="C1" s="1" t="inlineStr">
        <is>
          <t>Action</t>
        </is>
      </c>
      <c r="D1" s="1" t="inlineStr">
        <is>
          <t>Effort</t>
        </is>
      </c>
      <c r="E1" s="1" t="inlineStr">
        <is>
          <t>Coût estimé (MAD HT)</t>
        </is>
      </c>
      <c r="F1" s="1" t="inlineStr">
        <is>
          <t>Porteur</t>
        </is>
      </c>
      <c r="G1" s="1" t="inlineStr">
        <is>
          <t>Risques</t>
        </is>
      </c>
      <c r="H1" s="1" t="inlineStr">
        <is>
          <t>Mesures</t>
        </is>
      </c>
    </row>
    <row r="2">
      <c r="A2" s="2" t="inlineStr">
        <is>
          <t>A01</t>
        </is>
      </c>
      <c r="B2" s="2" t="inlineStr">
        <is>
          <t>30 j</t>
        </is>
      </c>
      <c r="C2" s="2" t="inlineStr">
        <is>
          <t>Activer la MFA sur tous les comptes Google, l'hébergeur, le bureau d'enregistrement du domaine et le back-office</t>
        </is>
      </c>
      <c r="D2" s="2" t="inlineStr">
        <is>
          <t>1 j</t>
        </is>
      </c>
      <c r="E2" s="2" t="inlineStr">
        <is>
          <t>0</t>
        </is>
      </c>
      <c r="F2" s="2" t="inlineStr">
        <is>
          <t>Référent sécurité</t>
        </is>
      </c>
      <c r="G2" s="2" t="inlineStr">
        <is>
          <t>R01, R05</t>
        </is>
      </c>
      <c r="H2" s="2" t="inlineStr">
        <is>
          <t>8.5, 5.17</t>
        </is>
      </c>
    </row>
    <row r="3">
      <c r="A3" s="2" t="inlineStr">
        <is>
          <t>A02</t>
        </is>
      </c>
      <c r="B3" s="2" t="inlineStr">
        <is>
          <t>30 j</t>
        </is>
      </c>
      <c r="C3" s="2" t="inlineStr">
        <is>
          <t>Révoquer et régénérer la clé d'API exposée ; retirer les secrets du dépôt et de son historique ; .env hors dépôt</t>
        </is>
      </c>
      <c r="D3" s="2" t="inlineStr">
        <is>
          <t>0,5 j</t>
        </is>
      </c>
      <c r="E3" s="2" t="inlineStr">
        <is>
          <t>0 - 1 000</t>
        </is>
      </c>
      <c r="F3" s="2" t="inlineStr">
        <is>
          <t>Prestataire web</t>
        </is>
      </c>
      <c r="G3" s="2" t="inlineStr">
        <is>
          <t>R04</t>
        </is>
      </c>
      <c r="H3" s="2" t="inlineStr">
        <is>
          <t>8.4, 8.24</t>
        </is>
      </c>
    </row>
    <row r="4">
      <c r="A4" s="2" t="inlineStr">
        <is>
          <t>A03</t>
        </is>
      </c>
      <c r="B4" s="2" t="inlineStr">
        <is>
          <t>30 j</t>
        </is>
      </c>
      <c r="C4" s="2" t="inlineStr">
        <is>
          <t>Déployer un gestionnaire de mots de passe d'équipe ; changer les mots de passe partagés</t>
        </is>
      </c>
      <c r="D4" s="2" t="inlineStr">
        <is>
          <t>1 j</t>
        </is>
      </c>
      <c r="E4" s="2" t="inlineStr">
        <is>
          <t>0 - 6 000 / an</t>
        </is>
      </c>
      <c r="F4" s="2" t="inlineStr">
        <is>
          <t>Référent sécurité</t>
        </is>
      </c>
      <c r="G4" s="2" t="inlineStr">
        <is>
          <t>R01, R05</t>
        </is>
      </c>
      <c r="H4" s="2" t="inlineStr">
        <is>
          <t>5.17</t>
        </is>
      </c>
    </row>
    <row r="5">
      <c r="A5" s="2" t="inlineStr">
        <is>
          <t>A04</t>
        </is>
      </c>
      <c r="B5" s="2" t="inlineStr">
        <is>
          <t>30 j</t>
        </is>
      </c>
      <c r="C5" s="2" t="inlineStr">
        <is>
          <t>Sauvegarde 3-2-1 : export BDD quotidien, copie hors hébergeur, disque externe hors ligne pour la compta ; 1er test de restauration</t>
        </is>
      </c>
      <c r="D5" s="2" t="inlineStr">
        <is>
          <t>2 j</t>
        </is>
      </c>
      <c r="E5" s="2" t="inlineStr">
        <is>
          <t>1 000 - 2 500</t>
        </is>
      </c>
      <c r="F5" s="2" t="inlineStr">
        <is>
          <t>Prestataire web + Référent</t>
        </is>
      </c>
      <c r="G5" s="2" t="inlineStr">
        <is>
          <t>R02, R06</t>
        </is>
      </c>
      <c r="H5" s="2" t="inlineStr">
        <is>
          <t>8.13, 5.30</t>
        </is>
      </c>
    </row>
    <row r="6">
      <c r="A6" s="2" t="inlineStr">
        <is>
          <t>A05</t>
        </is>
      </c>
      <c r="B6" s="2" t="inlineStr">
        <is>
          <t>30 j</t>
        </is>
      </c>
      <c r="C6" s="2" t="inlineStr">
        <is>
          <t>Monter la version de PHP vers une branche supportée ; ajouter les en-têtes HTTP de sécurité (CSP, HSTS, X-Content-Type-Options, frame-ancestors)</t>
        </is>
      </c>
      <c r="D6" s="2" t="inlineStr">
        <is>
          <t>1-2 j</t>
        </is>
      </c>
      <c r="E6" s="2" t="inlineStr">
        <is>
          <t>1 500 - 4 000</t>
        </is>
      </c>
      <c r="F6" s="2" t="inlineStr">
        <is>
          <t>Prestataire web</t>
        </is>
      </c>
      <c r="G6" s="2" t="inlineStr">
        <is>
          <t>R03, R08</t>
        </is>
      </c>
      <c r="H6" s="2" t="inlineStr">
        <is>
          <t>8.8, 8.9</t>
        </is>
      </c>
    </row>
    <row r="7">
      <c r="A7" s="2" t="inlineStr">
        <is>
          <t>A06</t>
        </is>
      </c>
      <c r="B7" s="2" t="inlineStr">
        <is>
          <t>30 j</t>
        </is>
      </c>
      <c r="C7" s="2" t="inlineStr">
        <is>
          <t>Durcir la box : mot de passe admin, WPS désactivé, WPA2/WPA3 clé forte, réseau invité séparé</t>
        </is>
      </c>
      <c r="D7" s="2" t="inlineStr">
        <is>
          <t>0,5 j</t>
        </is>
      </c>
      <c r="E7" s="2" t="inlineStr">
        <is>
          <t>0 - 1 500</t>
        </is>
      </c>
      <c r="F7" s="2" t="inlineStr">
        <is>
          <t>Référent sécurité</t>
        </is>
      </c>
      <c r="G7" s="2" t="inlineStr">
        <is>
          <t>R10</t>
        </is>
      </c>
      <c r="H7" s="2" t="inlineStr">
        <is>
          <t>8.20, 8.22</t>
        </is>
      </c>
    </row>
    <row r="8">
      <c r="A8" s="2" t="inlineStr">
        <is>
          <t>A07</t>
        </is>
      </c>
      <c r="B8" s="2" t="inlineStr">
        <is>
          <t>30 j</t>
        </is>
      </c>
      <c r="C8" s="2" t="inlineStr">
        <is>
          <t>Procédure anti-fraude : double validation des virements, contre-appel sur numéro connu pour tout changement de RIB</t>
        </is>
      </c>
      <c r="D8" s="2" t="inlineStr">
        <is>
          <t>0,5 j</t>
        </is>
      </c>
      <c r="E8" s="2" t="inlineStr">
        <is>
          <t>0</t>
        </is>
      </c>
      <c r="F8" s="2" t="inlineStr">
        <is>
          <t>Gérance</t>
        </is>
      </c>
      <c r="G8" s="2" t="inlineStr">
        <is>
          <t>R07</t>
        </is>
      </c>
      <c r="H8" s="2" t="inlineStr">
        <is>
          <t>5.3, 5.14</t>
        </is>
      </c>
    </row>
    <row r="9">
      <c r="A9" s="2" t="inlineStr">
        <is>
          <t>A08</t>
        </is>
      </c>
      <c r="B9" s="2" t="inlineStr">
        <is>
          <t>30 j</t>
        </is>
      </c>
      <c r="C9" s="2" t="inlineStr">
        <is>
          <t>Revue des comptes : supprimer les accès des anciens salariés/prestataires, comptes nominatifs, droits admin retirés</t>
        </is>
      </c>
      <c r="D9" s="2" t="inlineStr">
        <is>
          <t>1 j</t>
        </is>
      </c>
      <c r="E9" s="2" t="inlineStr">
        <is>
          <t>0</t>
        </is>
      </c>
      <c r="F9" s="2" t="inlineStr">
        <is>
          <t>Référent sécurité</t>
        </is>
      </c>
      <c r="G9" s="2" t="inlineStr">
        <is>
          <t>R05, R11</t>
        </is>
      </c>
      <c r="H9" s="2" t="inlineStr">
        <is>
          <t>5.16, 5.18, 8.2</t>
        </is>
      </c>
    </row>
    <row r="10">
      <c r="A10" s="2" t="inlineStr">
        <is>
          <t>A09</t>
        </is>
      </c>
      <c r="B10" s="2" t="inlineStr">
        <is>
          <t>30 j</t>
        </is>
      </c>
      <c r="C10" s="2" t="inlineStr">
        <is>
          <t>Postes : mises à jour automatiques, Defender vérifié, verrouillage d'écran, chiffrement des portables ; remplacer le poste Windows 10</t>
        </is>
      </c>
      <c r="D10" s="2" t="inlineStr">
        <is>
          <t>2 j</t>
        </is>
      </c>
      <c r="E10" s="2" t="inlineStr">
        <is>
          <t>0 - 8 000</t>
        </is>
      </c>
      <c r="F10" s="2" t="inlineStr">
        <is>
          <t>Référent + réparateur</t>
        </is>
      </c>
      <c r="G10" s="2" t="inlineStr">
        <is>
          <t>R02, R12</t>
        </is>
      </c>
      <c r="H10" s="2" t="inlineStr">
        <is>
          <t>8.1, 8.7, 8.24</t>
        </is>
      </c>
    </row>
    <row r="11">
      <c r="A11" s="2" t="inlineStr">
        <is>
          <t>A10</t>
        </is>
      </c>
      <c r="B11" s="2" t="inlineStr">
        <is>
          <t>30 j</t>
        </is>
      </c>
      <c r="C11" s="2" t="inlineStr">
        <is>
          <t>Site : politique de confidentialité, mentions d'information 09-08 sur les formulaires, bandeau cookies avec choix</t>
        </is>
      </c>
      <c r="D11" s="2" t="inlineStr">
        <is>
          <t>1-2 j</t>
        </is>
      </c>
      <c r="E11" s="2" t="inlineStr">
        <is>
          <t>1 000 - 3 000</t>
        </is>
      </c>
      <c r="F11" s="2" t="inlineStr">
        <is>
          <t>Gérance + Prestataire web</t>
        </is>
      </c>
      <c r="G11" s="2" t="inlineStr">
        <is>
          <t>R09</t>
        </is>
      </c>
      <c r="H11" s="2" t="inlineStr">
        <is>
          <t>5.34</t>
        </is>
      </c>
    </row>
    <row r="12">
      <c r="A12" s="2" t="inlineStr">
        <is>
          <t>A11</t>
        </is>
      </c>
      <c r="B12" s="2" t="inlineStr">
        <is>
          <t>90 j</t>
        </is>
      </c>
      <c r="C12" s="2" t="inlineStr">
        <is>
          <t>PSSI simplifiée + charte informatique signée (annexée au règlement intérieur) + procédure arrivée/départ</t>
        </is>
      </c>
      <c r="D12" s="2" t="inlineStr">
        <is>
          <t>3-5 j</t>
        </is>
      </c>
      <c r="E12" s="2" t="inlineStr">
        <is>
          <t>5 000 - 12 000</t>
        </is>
      </c>
      <c r="F12" s="2" t="inlineStr">
        <is>
          <t>Gérance + consultant</t>
        </is>
      </c>
      <c r="G12" s="2" t="inlineStr">
        <is>
          <t>Tous</t>
        </is>
      </c>
      <c r="H12" s="2" t="inlineStr">
        <is>
          <t>5.1, 5.10, 6.2, 6.4</t>
        </is>
      </c>
    </row>
    <row r="13">
      <c r="A13" s="2" t="inlineStr">
        <is>
          <t>A12</t>
        </is>
      </c>
      <c r="B13" s="2" t="inlineStr">
        <is>
          <t>90 j</t>
        </is>
      </c>
      <c r="C13" s="2" t="inlineStr">
        <is>
          <t>Sensibilisation (session 2 h) + campagne de phishing simulé interne (outil open source)</t>
        </is>
      </c>
      <c r="D13" s="2" t="inlineStr">
        <is>
          <t>2 j</t>
        </is>
      </c>
      <c r="E13" s="2" t="inlineStr">
        <is>
          <t>3 000 - 6 000</t>
        </is>
      </c>
      <c r="F13" s="2" t="inlineStr">
        <is>
          <t>Consultant</t>
        </is>
      </c>
      <c r="G13" s="2" t="inlineStr">
        <is>
          <t>R01, R02, R07</t>
        </is>
      </c>
      <c r="H13" s="2" t="inlineStr">
        <is>
          <t>6.3, 6.8</t>
        </is>
      </c>
    </row>
    <row r="14">
      <c r="A14" s="2" t="inlineStr">
        <is>
          <t>A13</t>
        </is>
      </c>
      <c r="B14" s="2" t="inlineStr">
        <is>
          <t>90 j</t>
        </is>
      </c>
      <c r="C14" s="2" t="inlineStr">
        <is>
          <t>Déclarations CNDP des traitements (clients/prospects, RH) et démarche pour les transferts de données hors Maroc</t>
        </is>
      </c>
      <c r="D14" s="2" t="inlineStr">
        <is>
          <t>2-3 j</t>
        </is>
      </c>
      <c r="E14" s="2" t="inlineStr">
        <is>
          <t>0 - 5 000 (accompagnement)</t>
        </is>
      </c>
      <c r="F14" s="2" t="inlineStr">
        <is>
          <t>Gérance</t>
        </is>
      </c>
      <c r="G14" s="2" t="inlineStr">
        <is>
          <t>R09</t>
        </is>
      </c>
      <c r="H14" s="2" t="inlineStr">
        <is>
          <t>5.31, 5.34</t>
        </is>
      </c>
    </row>
    <row r="15">
      <c r="A15" s="2" t="inlineStr">
        <is>
          <t>A14</t>
        </is>
      </c>
      <c r="B15" s="2" t="inlineStr">
        <is>
          <t>90 j</t>
        </is>
      </c>
      <c r="C15" s="2" t="inlineStr">
        <is>
          <t>Contrats/avenants avec hébergeur, prestataire web, transporteur, cabinet comptable : clauses sécurité, confidentialité, sous-traitance 09-08</t>
        </is>
      </c>
      <c r="D15" s="2" t="inlineStr">
        <is>
          <t>2 j</t>
        </is>
      </c>
      <c r="E15" s="2" t="inlineStr">
        <is>
          <t>3 000 - 8 000 (juriste)</t>
        </is>
      </c>
      <c r="F15" s="2" t="inlineStr">
        <is>
          <t>Gérance + juriste</t>
        </is>
      </c>
      <c r="G15" s="2" t="inlineStr">
        <is>
          <t>R09, R11</t>
        </is>
      </c>
      <c r="H15" s="2" t="inlineStr">
        <is>
          <t>5.19, 5.20, 6.6, 8.30</t>
        </is>
      </c>
    </row>
    <row r="16">
      <c r="A16" s="2" t="inlineStr">
        <is>
          <t>A15</t>
        </is>
      </c>
      <c r="B16" s="2" t="inlineStr">
        <is>
          <t>90 j</t>
        </is>
      </c>
      <c r="C16" s="2" t="inlineStr">
        <is>
          <t>Inventaire des actifs + registre des traitements + durées de conservation et purge des anciennes commandes</t>
        </is>
      </c>
      <c r="D16" s="2" t="inlineStr">
        <is>
          <t>2 j</t>
        </is>
      </c>
      <c r="E16" s="2" t="inlineStr">
        <is>
          <t>0</t>
        </is>
      </c>
      <c r="F16" s="2" t="inlineStr">
        <is>
          <t>Référent sécurité</t>
        </is>
      </c>
      <c r="G16" s="2" t="inlineStr">
        <is>
          <t>R09</t>
        </is>
      </c>
      <c r="H16" s="2" t="inlineStr">
        <is>
          <t>5.9, 5.12, 8.10, 8.11</t>
        </is>
      </c>
    </row>
    <row r="17">
      <c r="A17" s="2" t="inlineStr">
        <is>
          <t>A16</t>
        </is>
      </c>
      <c r="B17" s="2" t="inlineStr">
        <is>
          <t>90 j</t>
        </is>
      </c>
      <c r="C17" s="2" t="inlineStr">
        <is>
          <t>Fiche réflexe incident (contacts hébergeur, prestataire, maCERT, CNDP, police) + registre des incidents</t>
        </is>
      </c>
      <c r="D17" s="2" t="inlineStr">
        <is>
          <t>1 j</t>
        </is>
      </c>
      <c r="E17" s="2" t="inlineStr">
        <is>
          <t>0 - 2 000</t>
        </is>
      </c>
      <c r="F17" s="2" t="inlineStr">
        <is>
          <t>Référent + consultant</t>
        </is>
      </c>
      <c r="G17" s="2" t="inlineStr">
        <is>
          <t>R01, R02, R03</t>
        </is>
      </c>
      <c r="H17" s="2" t="inlineStr">
        <is>
          <t>5.24, 5.26, 5.5</t>
        </is>
      </c>
    </row>
    <row r="18">
      <c r="A18" s="2" t="inlineStr">
        <is>
          <t>A17</t>
        </is>
      </c>
      <c r="B18" s="2" t="inlineStr">
        <is>
          <t>90 j</t>
        </is>
      </c>
      <c r="C18" s="2" t="inlineStr">
        <is>
          <t>Audit de sécurité applicatif du site (revue de code + test d'intrusion autorisé) et correction des injections SQL/XSS</t>
        </is>
      </c>
      <c r="D18" s="2" t="inlineStr">
        <is>
          <t>5-8 j</t>
        </is>
      </c>
      <c r="E18" s="2" t="inlineStr">
        <is>
          <t>25 000 - 50 000</t>
        </is>
      </c>
      <c r="F18" s="2" t="inlineStr">
        <is>
          <t>Prestataire qualifié</t>
        </is>
      </c>
      <c r="G18" s="2" t="inlineStr">
        <is>
          <t>R03, R08</t>
        </is>
      </c>
      <c r="H18" s="2" t="inlineStr">
        <is>
          <t>8.28, 8.29, 8.8</t>
        </is>
      </c>
    </row>
    <row r="19">
      <c r="A19" s="2" t="inlineStr">
        <is>
          <t>A18</t>
        </is>
      </c>
      <c r="B19" s="2" t="inlineStr">
        <is>
          <t>90 j</t>
        </is>
      </c>
      <c r="C19" s="2" t="inlineStr">
        <is>
          <t>Journalisation : connexions back-office, alertes de connexion Google, surveillance de disponibilité gratuite</t>
        </is>
      </c>
      <c r="D19" s="2" t="inlineStr">
        <is>
          <t>1-2 j</t>
        </is>
      </c>
      <c r="E19" s="2" t="inlineStr">
        <is>
          <t>0 - 3 000</t>
        </is>
      </c>
      <c r="F19" s="2" t="inlineStr">
        <is>
          <t>Prestataire web</t>
        </is>
      </c>
      <c r="G19" s="2" t="inlineStr">
        <is>
          <t>R01, R03, R05</t>
        </is>
      </c>
      <c r="H19" s="2" t="inlineStr">
        <is>
          <t>8.15, 8.16</t>
        </is>
      </c>
    </row>
    <row r="20">
      <c r="A20" s="2" t="inlineStr">
        <is>
          <t>A23</t>
        </is>
      </c>
      <c r="B20" s="2" t="inlineStr">
        <is>
          <t>90 j</t>
        </is>
      </c>
      <c r="C20" s="2" t="inlineStr">
        <is>
          <t>Mettre le site derrière un CDN/WAF (offre gratuite ou d'entrée de gamme) ; verrou de transfert du domaine</t>
        </is>
      </c>
      <c r="D20" s="2" t="inlineStr">
        <is>
          <t>0,5 j</t>
        </is>
      </c>
      <c r="E20" s="2" t="inlineStr">
        <is>
          <t>0 - 2 500 / an</t>
        </is>
      </c>
      <c r="F20" s="2" t="inlineStr">
        <is>
          <t>Prestataire web</t>
        </is>
      </c>
      <c r="G20" s="2" t="inlineStr">
        <is>
          <t>R08, R03</t>
        </is>
      </c>
      <c r="H20" s="2" t="inlineStr">
        <is>
          <t>8.21</t>
        </is>
      </c>
    </row>
    <row r="21">
      <c r="A21" s="2" t="inlineStr">
        <is>
          <t>A19</t>
        </is>
      </c>
      <c r="B21" s="2" t="inlineStr">
        <is>
          <t>12 mois</t>
        </is>
      </c>
      <c r="C21" s="2" t="inlineStr">
        <is>
          <t>Migrer de Gmail gratuit vers une offre professionnelle administrable (console, MFA imposée, récupération des comptes)</t>
        </is>
      </c>
      <c r="D21" s="2" t="inlineStr">
        <is>
          <t>3 j</t>
        </is>
      </c>
      <c r="E21" s="2" t="inlineStr">
        <is>
          <t>10 000 - 15 000 / an (15 utilisateurs)</t>
        </is>
      </c>
      <c r="F21" s="2" t="inlineStr">
        <is>
          <t>Gérance + prestataire</t>
        </is>
      </c>
      <c r="G21" s="2" t="inlineStr">
        <is>
          <t>R01, R09, R11</t>
        </is>
      </c>
      <c r="H21" s="2" t="inlineStr">
        <is>
          <t>5.23, 8.5</t>
        </is>
      </c>
    </row>
    <row r="22">
      <c r="A22" s="2" t="inlineStr">
        <is>
          <t>A20</t>
        </is>
      </c>
      <c r="B22" s="2" t="inlineStr">
        <is>
          <t>12 mois</t>
        </is>
      </c>
      <c r="C22" s="2" t="inlineStr">
        <is>
          <t>PCA/PRA simplifié (RTO/RPO, mode dégradé) + test de restauration annuel documenté</t>
        </is>
      </c>
      <c r="D22" s="2" t="inlineStr">
        <is>
          <t>3 j</t>
        </is>
      </c>
      <c r="E22" s="2" t="inlineStr">
        <is>
          <t>3 000 - 8 000</t>
        </is>
      </c>
      <c r="F22" s="2" t="inlineStr">
        <is>
          <t>Référent + consultant</t>
        </is>
      </c>
      <c r="G22" s="2" t="inlineStr">
        <is>
          <t>R02, R06</t>
        </is>
      </c>
      <c r="H22" s="2" t="inlineStr">
        <is>
          <t>5.29, 5.30</t>
        </is>
      </c>
    </row>
    <row r="23">
      <c r="A23" s="2" t="inlineStr">
        <is>
          <t>A21</t>
        </is>
      </c>
      <c r="B23" s="2" t="inlineStr">
        <is>
          <t>12 mois</t>
        </is>
      </c>
      <c r="C23" s="2" t="inlineStr">
        <is>
          <t>Cycle de développement sécurisé avec le prestataire : dépôt privé, préproduction, revue, journal des changements</t>
        </is>
      </c>
      <c r="D23" s="2" t="inlineStr">
        <is>
          <t>4 j</t>
        </is>
      </c>
      <c r="E23" s="2" t="inlineStr">
        <is>
          <t>5 000 - 12 000</t>
        </is>
      </c>
      <c r="F23" s="2" t="inlineStr">
        <is>
          <t>Prestataire web</t>
        </is>
      </c>
      <c r="G23" s="2" t="inlineStr">
        <is>
          <t>R03, R08</t>
        </is>
      </c>
      <c r="H23" s="2" t="inlineStr">
        <is>
          <t>8.25, 8.31, 8.32</t>
        </is>
      </c>
    </row>
    <row r="24">
      <c r="A24" s="2" t="inlineStr">
        <is>
          <t>A22</t>
        </is>
      </c>
      <c r="B24" s="2" t="inlineStr">
        <is>
          <t>12 mois</t>
        </is>
      </c>
      <c r="C24" s="2" t="inlineStr">
        <is>
          <t>Revue de direction annuelle avec indicateurs (MFA %, sauvegardes testées, mises à jour) + revue indépendante à 24 mois</t>
        </is>
      </c>
      <c r="D24" s="2" t="inlineStr">
        <is>
          <t>1 j / an</t>
        </is>
      </c>
      <c r="E24" s="2" t="inlineStr">
        <is>
          <t>0 - 5 000</t>
        </is>
      </c>
      <c r="F24" s="2" t="inlineStr">
        <is>
          <t>Gérance</t>
        </is>
      </c>
      <c r="G24" s="2" t="inlineStr">
        <is>
          <t>Tous</t>
        </is>
      </c>
      <c r="H24" s="2" t="inlineStr">
        <is>
          <t>5.4, 5.35, 5.36</t>
        </is>
      </c>
    </row>
  </sheetData>
  <autoFilter ref="A1:H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2026-10-03T00:36:18Z</dcterms:created>
  <dcterms:modified xmlns:dcterms="http://purl.org/dc/terms/" xmlns:xsi="http://www.w3.org/2001/XMLSchema-instance" xsi:type="dcterms:W3CDTF">2026-10-03T00:36:18Z</dcterms:modified>
</cp:coreProperties>
</file>